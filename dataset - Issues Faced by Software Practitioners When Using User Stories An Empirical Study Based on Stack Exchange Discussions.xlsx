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mman\Downloads\"/>
    </mc:Choice>
  </mc:AlternateContent>
  <xr:revisionPtr revIDLastSave="0" documentId="13_ncr:1_{1E19096A-A18B-485E-91FB-C9AF34FCE02A}" xr6:coauthVersionLast="47" xr6:coauthVersionMax="47" xr10:uidLastSave="{00000000-0000-0000-0000-000000000000}"/>
  <bookViews>
    <workbookView xWindow="-110" yWindow="-110" windowWidth="19420" windowHeight="11500" activeTab="14" xr2:uid="{00000000-000D-0000-FFFF-FFFF00000000}"/>
  </bookViews>
  <sheets>
    <sheet name="Critérios " sheetId="1" r:id="rId1"/>
    <sheet name="Lista Geral" sheetId="2" r:id="rId2"/>
    <sheet name="Piloto-Consenso" sheetId="8" r:id="rId3"/>
    <sheet name="Análise para RQs" sheetId="9" r:id="rId4"/>
    <sheet name="Análise RQ1 Issues" sheetId="11" r:id="rId5"/>
    <sheet name="Análise RQ1 Metodolgia" sheetId="12" r:id="rId6"/>
    <sheet name="Análise RQ1 Cerimônias" sheetId="13" r:id="rId7"/>
    <sheet name="Análise RQ1 Papel" sheetId="14" r:id="rId8"/>
    <sheet name="Análise RQ1 Efeito" sheetId="15" r:id="rId9"/>
    <sheet name="Análise RQ1 Efeito X tipo Probl" sheetId="16" r:id="rId10"/>
    <sheet name="Cópia de Análise RQ1 Efeito X t" sheetId="17" r:id="rId11"/>
    <sheet name="Cópia de Cópia de Análise RQ1 E" sheetId="18" r:id="rId12"/>
    <sheet name="Análise RQ2 Soluções" sheetId="19" r:id="rId13"/>
    <sheet name="Tabela dinâmica 2" sheetId="20" r:id="rId14"/>
    <sheet name="Cópia de Tabela dinâmica 2" sheetId="21" r:id="rId15"/>
    <sheet name="Cópia de Cópia de Tabela dinâmi" sheetId="22" r:id="rId16"/>
  </sheets>
  <definedNames>
    <definedName name="_xlnm._FilterDatabase" localSheetId="3" hidden="1">'Análise para RQs'!$A$1:$Y$43</definedName>
    <definedName name="_xlnm._FilterDatabase" localSheetId="12" hidden="1">'Análise RQ2 Soluções'!$A$1:$L$263</definedName>
    <definedName name="_xlnm._FilterDatabase" localSheetId="1" hidden="1">'Lista Geral'!$A$1:$I$117</definedName>
    <definedName name="_xlnm._FilterDatabase" localSheetId="2" hidden="1">'Piloto-Consenso'!$A$1:$H$117</definedName>
  </definedNames>
  <calcPr calcId="191029"/>
  <pivotCaches>
    <pivotCache cacheId="7" r:id="rId17"/>
    <pivotCache cacheId="14" r:id="rId18"/>
    <pivotCache cacheId="19" r:id="rId19"/>
    <pivotCache cacheId="25"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7" i="8" l="1"/>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alcChain>
</file>

<file path=xl/sharedStrings.xml><?xml version="1.0" encoding="utf-8"?>
<sst xmlns="http://schemas.openxmlformats.org/spreadsheetml/2006/main" count="5183" uniqueCount="1134">
  <si>
    <t>CA: Discussão apta para análise (discussão que aborda problemas com user stories)</t>
  </si>
  <si>
    <t>CE1: Discussão Incompleta: sem resposta ou tem somente uma resposta cujo o autor é o mesmo da pergunta</t>
  </si>
  <si>
    <t>CE2: Score igual ou menor que zero</t>
  </si>
  <si>
    <t>CE3: Discussão que NÃO aborda problemas com user stories</t>
  </si>
  <si>
    <t>CE4: Discussão em um contexto fora da indústria (empresa, equipe, projeto para indústria)</t>
  </si>
  <si>
    <t>CE5: Discussão que NÃO aborda um problema real relacionado à utilização de user stories.</t>
  </si>
  <si>
    <t>ID</t>
  </si>
  <si>
    <t>Fórum</t>
  </si>
  <si>
    <t>ID Site</t>
  </si>
  <si>
    <t>Site</t>
  </si>
  <si>
    <t>Título</t>
  </si>
  <si>
    <t>Critério</t>
  </si>
  <si>
    <t>Ano</t>
  </si>
  <si>
    <t>Última resposta com score &gt; 0</t>
  </si>
  <si>
    <t>Nacionalidade</t>
  </si>
  <si>
    <t>Project Management</t>
  </si>
  <si>
    <t>https://pm.stackexchange.com/questions/</t>
  </si>
  <si>
    <t>Is it possible to be agile during steps prior to implementation like sales and product discovery?</t>
  </si>
  <si>
    <t>https://softwareengineering.stackexchange.com/questions/</t>
  </si>
  <si>
    <t>Software Engineering</t>
  </si>
  <si>
    <t>In Scrum, what to do when story points and task hours don't roughly correlate?</t>
  </si>
  <si>
    <t>Não consta</t>
  </si>
  <si>
    <t>Who else can test in absence of QA?</t>
  </si>
  <si>
    <t>https://sqa.stackexchange.com/questions/</t>
  </si>
  <si>
    <t>Agile product planning alternatives to aid goal-oriented feature quality</t>
  </si>
  <si>
    <t>Eslovênia</t>
  </si>
  <si>
    <t>Technical product owner does it really exist?</t>
  </si>
  <si>
    <t>How to manage a failed sub team inside a scrum team</t>
  </si>
  <si>
    <t>How should we hand-off and ticket UI designs to the devs to ensure the developed design matches the provided UI mockups, while still being agile?</t>
  </si>
  <si>
    <t>Many user stories share the same technical tasks: what to do?</t>
  </si>
  <si>
    <t>L'Aquila, Itália</t>
  </si>
  <si>
    <t>How to communicate effectivelly with less knowledgeable individuals</t>
  </si>
  <si>
    <t>How to (Agile) manage a fairly complex IT PoC?</t>
  </si>
  <si>
    <t>Software Quality Assurance &amp; Testing</t>
  </si>
  <si>
    <t>Techniques to write good acceptance criteria for user stories</t>
  </si>
  <si>
    <t>Gainesville, Flórida</t>
  </si>
  <si>
    <t>Where should design be incorporated in an agile process?</t>
  </si>
  <si>
    <t>Estados Unidos</t>
  </si>
  <si>
    <t>How much detail about a user story can a developer expect?</t>
  </si>
  <si>
    <t>How to deal with a Dev Team that refuses to analyze/investigate the source of the issue, and just blames the process</t>
  </si>
  <si>
    <t>Y-CE5 / N-CE3</t>
  </si>
  <si>
    <t>Anemic REST and DDD</t>
  </si>
  <si>
    <t>Is the Iteration Planning part of the Iteration itself?</t>
  </si>
  <si>
    <t>Should technical debt/technology upgrade be scheduled as a feature (given points) or a chore (given no points)?</t>
  </si>
  <si>
    <t>doubt about relationship between poker planning and ideal days</t>
  </si>
  <si>
    <t>How to keep all the developers on the same page in Scrum?</t>
  </si>
  <si>
    <t>Chennai, Índia</t>
  </si>
  <si>
    <t>Is there no substitute for testing?</t>
  </si>
  <si>
    <t>How do you cope with a team who tends to underestimate time needed to complete tasks?</t>
  </si>
  <si>
    <t>Agile - What we doing wrong?</t>
  </si>
  <si>
    <t>TDD how to avoid test duplication across team</t>
  </si>
  <si>
    <t>When is it reasonable to register an activity on the SCRUM board and when it is not necessary?</t>
  </si>
  <si>
    <t>Are end-to-end and integration tests worth it for non-mission critical stuff?</t>
  </si>
  <si>
    <t>Handling multiple pull requests from a branch</t>
  </si>
  <si>
    <t>I would like to improve in writing goal-oriented user stories/features</t>
  </si>
  <si>
    <t>How should a team handle disagreements about story-point estimates in Scrum?</t>
  </si>
  <si>
    <t>Viena, Áustria</t>
  </si>
  <si>
    <t>How does a team (new to product and domain) estimate user stories of a ten year old product?</t>
  </si>
  <si>
    <t>How can I manage both user stories and other non-backlog tasks if using VersionOne?</t>
  </si>
  <si>
    <t>Git work flow with pull requests</t>
  </si>
  <si>
    <t>How do I prevent Scrum from turning great developers into average developers?</t>
  </si>
  <si>
    <t>Requirements engineering done in Excel and Word?</t>
  </si>
  <si>
    <t>Steps to achieve the best code quality?</t>
  </si>
  <si>
    <t>What to include in sprint backlog in the first weeks of developing?</t>
  </si>
  <si>
    <t>Problem statement for code reuse</t>
  </si>
  <si>
    <t>What empirical evidence is there that the separation between analysis and design leads to better results than mixing them?</t>
  </si>
  <si>
    <t>How to get better understanding of the users as a programmer</t>
  </si>
  <si>
    <t>The place of UI design when estimating and elaborating user stories</t>
  </si>
  <si>
    <t>Should a user story be shared between developers?</t>
  </si>
  <si>
    <t>Cary, Carolina do Norte, EUA</t>
  </si>
  <si>
    <t>Why not use costs instead of story points for estimation?</t>
  </si>
  <si>
    <t>how can we have a person to allot and track tasks in agile development</t>
  </si>
  <si>
    <t>What is the way to go to create tasks?</t>
  </si>
  <si>
    <t>Hamburgo, Alemanha</t>
  </si>
  <si>
    <t>Is there any software development methodologies for small teams?</t>
  </si>
  <si>
    <t>Alternatives for Agile Scrum</t>
  </si>
  <si>
    <t>Agile Story Pointing - Shared Resources</t>
  </si>
  <si>
    <t>The burndown suffers due to "technical" dependency between tasks - should we focus more on each task, and accept additional overhead?</t>
  </si>
  <si>
    <t>What is an effective way to record rationales behind product design decisions?</t>
  </si>
  <si>
    <t>Is it ok to define a user story that has no real business value without another story?</t>
  </si>
  <si>
    <t>Lyon, França</t>
  </si>
  <si>
    <t>Disadvantages of vertical user stories</t>
  </si>
  <si>
    <t>What is the importance of the vision document and how it helps development?</t>
  </si>
  <si>
    <t>UX designers working one Sprint ahead</t>
  </si>
  <si>
    <t>Dev and Tester separated team AND single sprint</t>
  </si>
  <si>
    <t>How do I facilitate an effective planning meeting with a remote team?</t>
  </si>
  <si>
    <t>How to project manage Multiple Product lines, Crossed linked projects 75 developers, 7-8 product managers in an agile manager</t>
  </si>
  <si>
    <t>Make Sure Developers Follow Requirements &amp; Test Their Code</t>
  </si>
  <si>
    <t>Scrum: Product Backlogs and Tasks</t>
  </si>
  <si>
    <t>Utah, Estados Unidos</t>
  </si>
  <si>
    <t>How to schedule back and front-end developers based on story points?</t>
  </si>
  <si>
    <t>Need help- Documentation for non-technical people using Agile</t>
  </si>
  <si>
    <t>How to eliminate wasted time / improve cadence on epic boundaries</t>
  </si>
  <si>
    <t>Praga, República Tcheca</t>
  </si>
  <si>
    <t>Specifications in spreadsheets vs. stories in JIRA</t>
  </si>
  <si>
    <t>How can agile be applied to applications involving complex processing?</t>
  </si>
  <si>
    <t>Alemanha</t>
  </si>
  <si>
    <t>how can user story maps be used for projects with heavy backend work and little UI</t>
  </si>
  <si>
    <t>Beirute, Líbano</t>
  </si>
  <si>
    <t>Should all team members be assigned user stories?</t>
  </si>
  <si>
    <t>How to allocate story points on extremely complex user stories?</t>
  </si>
  <si>
    <t>Where does documentation like business and software requirement spec docs fit in an agile project?</t>
  </si>
  <si>
    <t>Agile Estimation - How to estimate for bugs?</t>
  </si>
  <si>
    <t>Do user stories mean rework? How much is ok?</t>
  </si>
  <si>
    <t>Introducing Agile development after traditional project inception</t>
  </si>
  <si>
    <t>How to plan 2 week sprints, when each story completed will generate multiple stories</t>
  </si>
  <si>
    <t>How to get good design when using agile methods?</t>
  </si>
  <si>
    <t>Can testers peer review the developers' design and code?</t>
  </si>
  <si>
    <t>Design documents as part of Agile</t>
  </si>
  <si>
    <t>Y-CE4 / N-CA</t>
  </si>
  <si>
    <t>Finishing an iteration early</t>
  </si>
  <si>
    <t>Agile product backlogs</t>
  </si>
  <si>
    <t>I want to adopt an agile methodology - in a company that has NO process at all?</t>
  </si>
  <si>
    <t>Suggestions to improve small team workflow (CI / Deployment)</t>
  </si>
  <si>
    <t>How to write a summary for a user story?</t>
  </si>
  <si>
    <t>Tallinn, Estônia</t>
  </si>
  <si>
    <t>Where is Waterfall failing us and can Scrum help us have success in our projects?</t>
  </si>
  <si>
    <t>Backend devs put down by user stories</t>
  </si>
  <si>
    <t>How to make sprint planning fun</t>
  </si>
  <si>
    <t>How to handle editing a large file for a non-technical user</t>
  </si>
  <si>
    <t>How to map user stories into tickets?</t>
  </si>
  <si>
    <t>How could Agile methodologies be used with a middle school Lego Robotics team?</t>
  </si>
  <si>
    <t>How far should you vertically slice?</t>
  </si>
  <si>
    <t>What to do for delayed stories between sprints</t>
  </si>
  <si>
    <t>How do I break down a feature that has complex dependencies?</t>
  </si>
  <si>
    <t>Cardiff, Reino Unido</t>
  </si>
  <si>
    <t>Scrum uneven distribution of work hidden in a unified effort</t>
  </si>
  <si>
    <t>Shared backend resources for two mobile SCRUM teams, iOS and Android</t>
  </si>
  <si>
    <t>How to adopt scrum when you don't know who needs to be in your team each sprint</t>
  </si>
  <si>
    <t>Jira story points versus sub task estimation</t>
  </si>
  <si>
    <t>Product Backlog items estimation - How to avoid estimations in hours when there is no team velocity and team is new?</t>
  </si>
  <si>
    <t>How to deal with an impatient stakeholder?</t>
  </si>
  <si>
    <t>How to set properly aligned KPIs for engineers and QA staff</t>
  </si>
  <si>
    <t>Documenting requirements on an Agile project</t>
  </si>
  <si>
    <t>Do user stories need to be Independent and Valuable or Independently Valuable?</t>
  </si>
  <si>
    <t>Organizing testing in a Scrum(ish) development project</t>
  </si>
  <si>
    <t>Company wants to write custom project management tool, rather than use third party product</t>
  </si>
  <si>
    <t>In Scrum, why shouldn't the Product Owner and ScrumMaster roles be combined?</t>
  </si>
  <si>
    <t>The business and architecture challenge behind creating effective user stories</t>
  </si>
  <si>
    <t>Is QA stage mandatory to be included into user story cycle?</t>
  </si>
  <si>
    <t>New York</t>
  </si>
  <si>
    <t>How to write a user story involving artistic work?</t>
  </si>
  <si>
    <t>Quebec, Canadá</t>
  </si>
  <si>
    <t>Managing a Product Owner in a not-yet-agile organization</t>
  </si>
  <si>
    <t>Is there any pm methodology that works well on large projects?</t>
  </si>
  <si>
    <t>Lingua franca for technical stories</t>
  </si>
  <si>
    <t>Londres</t>
  </si>
  <si>
    <t>How do you estimate epics?</t>
  </si>
  <si>
    <t>How to determine the cost of a story point?</t>
  </si>
  <si>
    <t>Costa Rica</t>
  </si>
  <si>
    <t>How to incorporate UX/UI in sprint correctly when mockups are required to estimate a story?</t>
  </si>
  <si>
    <t>How do you handle non-functional work with Scrum in embedded eystems?</t>
  </si>
  <si>
    <t>Is FPA incompatible with Agile?</t>
  </si>
  <si>
    <t>How to implement unit testing with a small Scrum team without spending half the Sprint unit-testing stories?</t>
  </si>
  <si>
    <t>How to respond to a suggestion from management to stop writing manual test cases</t>
  </si>
  <si>
    <t>How to deal with or prevent idle in the test team?</t>
  </si>
  <si>
    <t>User stories are too high level and conceptual, management expects developers to fill in the blanks</t>
  </si>
  <si>
    <t>Amsterdã, Países Baixos</t>
  </si>
  <si>
    <t>Is estimating a project without basic requirements or user stories a good idea for a fixed cost proposal?</t>
  </si>
  <si>
    <t>Acceptance Criteria for user story on interface adapting for devices with different resolutions</t>
  </si>
  <si>
    <t>Trecho - Problema</t>
  </si>
  <si>
    <t>Trecho - Metodologia Ágil</t>
  </si>
  <si>
    <t>Trecho - Cerimônia</t>
  </si>
  <si>
    <t>Trecho - Papel</t>
  </si>
  <si>
    <t>Trecho - Efeito</t>
  </si>
  <si>
    <t>Baixa, correlação, estimativas</t>
  </si>
  <si>
    <t xml:space="preserve"> I noticed that the correlation between story points and task hours is not very good. That is, we often have stories of lesser points decomposed into a total task hours greater than stories of higher points.</t>
  </si>
  <si>
    <t>Scrum</t>
  </si>
  <si>
    <t>Our development team is pretty new to the scrum process</t>
  </si>
  <si>
    <t>Sprint Planning</t>
  </si>
  <si>
    <t xml:space="preserve">At the planning phase, identify outliers after the task hour break-down process and look at these further. </t>
  </si>
  <si>
    <t xml:space="preserve"> it seems to me that if sprint points and task hours don't correlate well, then we must be doing a bad job at estimating either one or both of these.</t>
  </si>
  <si>
    <t>Histórias mal definidas</t>
  </si>
  <si>
    <t xml:space="preserve"> there are more ways to write bad/unusable user stories than writing really good ones. And it's easy to get to the wrong tracks even if you're careful. </t>
  </si>
  <si>
    <t>In Agile terms these kind of functionality documentation is the Backlog.</t>
  </si>
  <si>
    <t xml:space="preserve"> If you don't have lots of experience with user stories that may hinder your product because they distract you from the actual goal.</t>
  </si>
  <si>
    <t>Dependência entre histórias</t>
  </si>
  <si>
    <t>Here the problem is whether we should ignore the principle of having isolated user stories (without any dependency between them).</t>
  </si>
  <si>
    <t xml:space="preserve"> Everyone in the team knows that each user story could be picked up by the PO for the next iteration at any time</t>
  </si>
  <si>
    <t xml:space="preserve"> When estimating the first of those stories, the team decided that the function call mechanism would have been an engaging but not completely obvious task</t>
  </si>
  <si>
    <t>his immediately raised up the total points for the product of 20 points! [...] those 20 points feel so awfully unrealistic!</t>
  </si>
  <si>
    <t>Critérios mal definidos</t>
  </si>
  <si>
    <t>we struggle to define clear acceptance criteria while grooming/planning our user stories.</t>
  </si>
  <si>
    <t>I am a developer in the scrum master</t>
  </si>
  <si>
    <t>while grooming/planning our user stories</t>
  </si>
  <si>
    <t>This alienates our QA members as they don't really have complete understanding of what to test.</t>
  </si>
  <si>
    <t>Design gera dependência</t>
  </si>
  <si>
    <t>The problem I have with this is that the "development user stories" then have these dependencies on other stories which we generally try to avoid.</t>
  </si>
  <si>
    <t>We use a scrum-based agile development process.</t>
  </si>
  <si>
    <t>We currently think of design as a separate task and break it out as a separate user story with estimated points.</t>
  </si>
  <si>
    <t>Histórias dependentes</t>
  </si>
  <si>
    <t xml:space="preserve">he "development user stories" then have these dependencies on other stories </t>
  </si>
  <si>
    <t>Requisitos insuficientes fornecidos</t>
  </si>
  <si>
    <t>"But often enough I find myself in the situation that such information is not provided or in very shoddy fashion."</t>
  </si>
  <si>
    <t>The biggest drawback of agile development I have experienced [...] I've read something like 2 pages in natural language per story in "Planning XP"</t>
  </si>
  <si>
    <t xml:space="preserve">Giving this sentence, project managers expect me as a developer to commit to an estimate and develop the story. </t>
  </si>
  <si>
    <t xml:space="preserve"> They assume that agile development means that sentences like this are all they have to provide to developers.</t>
  </si>
  <si>
    <t>Conhecimento centralizado histórias</t>
  </si>
  <si>
    <t>A dev team is willing to work only on the same user story which they have started previously, stating that they know it very well and will finish it easily.</t>
  </si>
  <si>
    <t>If it is covered during sprint planning meeting then the meeting will take more than a day to discuss everything.</t>
  </si>
  <si>
    <t xml:space="preserve">How to keep all developers informed about all user stories? </t>
  </si>
  <si>
    <t xml:space="preserve">Dificuldade escrever histórias </t>
  </si>
  <si>
    <t>I would like to improve my user stories writing abilities so I need your experience and guidance.</t>
  </si>
  <si>
    <t>É mencionado sprints e o uso de User Stories, a metodologia não é explicita</t>
  </si>
  <si>
    <t>Breaking relationships also helps better sprint cycles because one story can't stall the whole sprint.</t>
  </si>
  <si>
    <t>Providing these instead of benefits makes it easy to see why certain user story is more important than the other? So it helps prioritisation.</t>
  </si>
  <si>
    <t>Conflito na estimativa</t>
  </si>
  <si>
    <t>What should the Scrum Master do if the story is judged very differently by the team members, but they can't convince each other enough to agree on a story-point estimate?</t>
  </si>
  <si>
    <t>During estimation, the Product Owner presents a user story... [...]  What should the Scrum Master do...</t>
  </si>
  <si>
    <t>Or accept this user story as "high-risk" with only a semi-commitment during Sprint Planning?</t>
  </si>
  <si>
    <t>I assume that if the issue is not clarified the 20-point faction will not commit to the user story if it is (in their eyes) under-estimated.</t>
  </si>
  <si>
    <t>Falta conhecimento produto</t>
  </si>
  <si>
    <t xml:space="preserve"> the team is not feeling confident enough in converting the user stories to functionality</t>
  </si>
  <si>
    <t>I am the scrum master for one of the product</t>
  </si>
  <si>
    <t xml:space="preserve"> they were unable to estimate the user stories in the sprint planning meetings.</t>
  </si>
  <si>
    <t>Scrum Master</t>
  </si>
  <si>
    <t>Sometimes it took multiple sprints to complete a user story.</t>
  </si>
  <si>
    <t>Trabalhos fora backlog</t>
  </si>
  <si>
    <t>VersionOne is fine for tracking user stories, but not all work is currently organized into user stories</t>
  </si>
  <si>
    <t>We are taking our first steps in agile and Scrum</t>
  </si>
  <si>
    <t>I am trying to build a sprint plan for the development team</t>
  </si>
  <si>
    <t>managing them someplace else means I will either duplicate the VersionOne information in the other system, or I will have two systems tracking the development tasks.</t>
  </si>
  <si>
    <t>Histórias orientadas à solução</t>
  </si>
  <si>
    <t>the business analysts often provide us "user stories" that are more solution than problem statement.</t>
  </si>
  <si>
    <t>I work at a company that wants to be agile</t>
  </si>
  <si>
    <t>we receive a solution statement on our backlog, they are eager to jump right in and work on it.</t>
  </si>
  <si>
    <t>within our organization structure, I have zero contact with the user</t>
  </si>
  <si>
    <t>Estimativa sem UI definida</t>
  </si>
  <si>
    <t>I can't estimate accurately enough at this stage of the process as some elements are missing i.e. UI.</t>
  </si>
  <si>
    <t>Our company is trying to follow Agile methodologies when it comes to estimating and prioritizing any new development work</t>
  </si>
  <si>
    <t xml:space="preserve"> she needed estimates so she could plan the sprints and get a costing for the project.</t>
  </si>
  <si>
    <t>a story is bigger than you thought so blows out</t>
  </si>
  <si>
    <t>Responsabilidade e divisão</t>
  </si>
  <si>
    <t xml:space="preserve">Who "owns" which story? What does "in progress" mean or "done"? Should we make two separate stories for back-end and front-end? If so, doesn't that break the idea of user stories based on feature? </t>
  </si>
  <si>
    <t xml:space="preserve"> Is this a "bad" way to use Scrum?</t>
  </si>
  <si>
    <t>can focus their attention to get their part done by the end of the sprint.</t>
  </si>
  <si>
    <t>-</t>
  </si>
  <si>
    <t xml:space="preserve">Then comes the chaos. </t>
  </si>
  <si>
    <t>Estimativa baseada custo</t>
  </si>
  <si>
    <t>What would be the disadvantage of using such a scheme for estimating tickets? Has anyone tried estimating tickets based on costs within scrum?</t>
  </si>
  <si>
    <t>Has anyone tried estimating tickets based on costs within scrum?</t>
  </si>
  <si>
    <t xml:space="preserve"> In a two week sprint, a single programmer can work for 80 hours</t>
  </si>
  <si>
    <t>What would be the disadvantage of using such a scheme for estimating tickets?</t>
  </si>
  <si>
    <t>Mapeamento histórias tickets</t>
  </si>
  <si>
    <t>But I still have difficulties understanding how I exactly should use a ticket system</t>
  </si>
  <si>
    <t>I'm struggling to find the best way to use scrum and user stories on the following case</t>
  </si>
  <si>
    <t>Releasing the product with only US1 would provide the capability to design card views that are useless without US2.</t>
  </si>
  <si>
    <t>Desvantagens histórias verticais</t>
  </si>
  <si>
    <t>What are some more drawbacks of vertically slicing user stories?</t>
  </si>
  <si>
    <t xml:space="preserve">The agile approach is to structure the work into vertical user stories </t>
  </si>
  <si>
    <t>I want to be able to bring up the possible trade-offs ahead of time so they won't consider the approach a failure when they are faced with the drawbacks.</t>
  </si>
  <si>
    <t>UX sem valor direto</t>
  </si>
  <si>
    <t>In our case the UX design stories don't provide such value (they are more like a backlog grooming activity).</t>
  </si>
  <si>
    <t xml:space="preserve">However in Scrum you are only supposed to have user stories that provide value to the user. [...]  it goes somewhat against Scrum principles.
</t>
  </si>
  <si>
    <t xml:space="preserve"> if you don't have screen mockups and clear specifications you can't really estimate the work during Sprint Planning.</t>
  </si>
  <si>
    <t>it goes somewhat against Scrum principles.</t>
  </si>
  <si>
    <t>Desbalanceamento de Trabalho</t>
  </si>
  <si>
    <t>we cannot make a sizing that make sense for both the devs and testers inside the same sprint.</t>
  </si>
  <si>
    <t>we are using Jira for Scrum.</t>
  </si>
  <si>
    <t xml:space="preserve">when planning the sprint there is a high chance that one side with have 75% of the workload </t>
  </si>
  <si>
    <t xml:space="preserve">one side with have 75% of the workload and the other almost nothing to do. And if we size for only one of the side, we ensure that one side will have the right amount for the sprint but the other side might not. </t>
  </si>
  <si>
    <t>Especialização vs tarefas</t>
  </si>
  <si>
    <t xml:space="preserve">So for the tasks above it seems like all three team members are going to be working on one tasks when only one member should be assigned to one task.[...]  Is there a different way tasks should be written so that it relates to just one of my team members? </t>
  </si>
  <si>
    <t>I am just super confused about this. [...]  I want to be as agile as possible but it seems like I am running into walls.</t>
  </si>
  <si>
    <t>Transição entre épicos</t>
  </si>
  <si>
    <t>The problem I've noticed is that there seems to be a lot of time wasted on the boundary between epics. Towards the end of work on an epic, we get increasingly blocked by lack of tasks we can work on or dependencies.</t>
  </si>
  <si>
    <t xml:space="preserve">Our team works in a kanban-ish process [...] There are no time-boxed sprints. </t>
  </si>
  <si>
    <t>there seems to be a lot of time wasted [...] we get increasingly blocked</t>
  </si>
  <si>
    <t>1. The solution was simple. Stop planning around epics and instead plan at the task or story level. At this finer level of detail it is easier for the team to balance its work. For example, they would often mix the start of a new epic with the end of the previous epic. This allowed the team to be fully utilised and to transition cleanly between epics.</t>
  </si>
  <si>
    <t>Histórias vs processamento</t>
  </si>
  <si>
    <t>Here it can get really difficult to relate tasks and user stories. Are there techniques to overcome this issue or is it just something we have to accept and make the best of it?</t>
  </si>
  <si>
    <t>Most of the literature on agile seems to be biased towards CRUD type business applications</t>
  </si>
  <si>
    <t>it can get really difficult to relate tasks and user stories.</t>
  </si>
  <si>
    <t>Story map técnico</t>
  </si>
  <si>
    <t xml:space="preserve">My question is: how can user story maps be used to visualize a project like this where there isn't too much of a user story going on. it's mostly stuff going on at the backend to scale operations </t>
  </si>
  <si>
    <t>I find using story maps a very effective way in convincing clients to use the lean start-up principles</t>
  </si>
  <si>
    <t>I'm struggling on how to lay them out</t>
  </si>
  <si>
    <t>1. Measure which sub-workflow benefits most from a scalable cloud service. While 'storymaps' is a great tool for agile projects, in my opinion it is not suitable for your type of project. A storymap is workflow/feature oriented, your example tasks are component/module/architecture oriented.</t>
  </si>
  <si>
    <t>Estimativa com Story Points</t>
  </si>
  <si>
    <t>How do you accurately apply story points to very big tasks? thanks</t>
  </si>
  <si>
    <t>the task is just too big [...] try to break the user story further to make it easier to estimate it's complexity, but then find that we cannot since the story is the task.</t>
  </si>
  <si>
    <t xml:space="preserve">Rework excessivo </t>
  </si>
  <si>
    <t>I feel something is wrong when user stories seem to produce so much rework! [...] What would be the best Scrum approach here? Should there be something like a special Sprint for architecure/ design at the beginning (and from time to time again)?</t>
  </si>
  <si>
    <t>We are currently setting up a scrum team [...] Ok, now we are going to use Scrum for the first time. Next week will be the first Sprint Planning</t>
  </si>
  <si>
    <t>Next week will be the first Sprint Planning Meeting and I know the user stories are like</t>
  </si>
  <si>
    <t>I fear and expect a lot of rework [...]  refactoring from design A to design B is more expensive</t>
  </si>
  <si>
    <t>Dificuldade de planejar backlog</t>
  </si>
  <si>
    <t>does anyone have any tips on how to plan a backlog multiple sprints in advance. [...] It's beginning to get really tough committing to even a one week sprint as we can't commit a week's worth of user stories.</t>
  </si>
  <si>
    <t>I would like to know if anyone is in a similar situation working as part of a SCRUM team</t>
  </si>
  <si>
    <t>Sprint</t>
  </si>
  <si>
    <t xml:space="preserve">not wait for the next 2 week sprint.[...] committing to even a one week sprint </t>
  </si>
  <si>
    <t xml:space="preserve">because so much of what they do is unknown in advance...  new variables / methods / software / hardware / even the fundamental problem may change </t>
  </si>
  <si>
    <t>Dificuldade de estruturar e visualizar o backlog</t>
  </si>
  <si>
    <t>the problem is that from above the backlog seems clumsy. I would like backlog (and the board) to display stories in (readably) coherent structure</t>
  </si>
  <si>
    <t>We don't do scrum, we just use backlog and modified kanban board to visualize our progress.</t>
  </si>
  <si>
    <t xml:space="preserve"> summaries are sometimes little bit misleading... I don't know how to go about point 2.</t>
  </si>
  <si>
    <t>Dificuldade de fatiar verticalmente (vertical slicing) em sistema complexo</t>
  </si>
  <si>
    <t>The problem now is using this user story to vertically slice... do we slice across the entire system?If we are to see each PBI as a deliverable unit that provides value to the user, there doesn't seem to be a way to break this down. Are we just being too rigid with our interpretation of Scrum?</t>
  </si>
  <si>
    <t>We are a small team of 4 software developers trying to use Scrum.</t>
  </si>
  <si>
    <t>we would need to implement all of the OAuth behaviour...most of the JS framework... all the database structure... there doesn't seem to be a way to break this down.</t>
  </si>
  <si>
    <t>Histórias bloqueadas dependentes do cliente</t>
  </si>
  <si>
    <t>stories that are not considered done because of missing information from the customer. I am waiting on the customer for some answers.... the stories will be shifted to next sprint.</t>
  </si>
  <si>
    <t>I am new to Agile.</t>
  </si>
  <si>
    <t>I have a sprint with 60 user stories... at the end of the last 2 sprints</t>
  </si>
  <si>
    <t>this can put my team, as well as me as a leader, under pressure.</t>
  </si>
  <si>
    <t>Dificuldade em criar histórias modelo INVEST</t>
  </si>
  <si>
    <t xml:space="preserve">I'm struggling to adhere to Scrum and INVEST... It's specifically the ability to make them independent and releasable that I just can't seem to fathom. </t>
  </si>
  <si>
    <t>However, in Scrum, using INVEST principles, each story should be at the very least releasable and independent.</t>
  </si>
  <si>
    <t xml:space="preserve"> I cannot do the validation until the backend endpoint and the frontend modal window has been completed...we need the database schema...  which acts as a dependency for the entire project.</t>
  </si>
  <si>
    <t>Conflito entre estimar em Story Points vs. horas/dias</t>
  </si>
  <si>
    <t>The project manager wants to estimate in days/hours these user stories. I believe that's not a good idea.</t>
  </si>
  <si>
    <t>I want to estimate them in story points and to track the team's performance throughout the sprints</t>
  </si>
  <si>
    <t>so there is no velocity that can be used for further sprint planning.</t>
  </si>
  <si>
    <t>They are a new team so there is no velocity... we need to estimate them.</t>
  </si>
  <si>
    <t>Histórias tecnicamente independentes, mas não valiosas isoladamente</t>
  </si>
  <si>
    <t>These stories could be implemented independently but are valuable only in conjunction with each other. Is this a valid way of splitting or do the stories also need to be independently valuable?</t>
  </si>
  <si>
    <t>eles usam a técnica INVEST para escrever User Stories mas não cita a metodologia exata</t>
  </si>
  <si>
    <t>If we build just story 1 it seems not to be valuable. If we build just story 2... provides no value.</t>
  </si>
  <si>
    <t>Quando considerar uma história como concluída</t>
  </si>
  <si>
    <t>So at the end of the Sprint I usually have several user stories under QA, so should I mark them as completed, or not? 'Should the "QA COMPLETED" condition be included into the Definition Of Done?')</t>
  </si>
  <si>
    <t>A 2-week Sprint is close to the end (let's say 80% of the time has passed by)</t>
  </si>
  <si>
    <t xml:space="preserve">should I mark them as completed, or not? </t>
  </si>
  <si>
    <t>Como definir e estimar histórias com trabalho artístico subjetivo e imprevisível</t>
  </si>
  <si>
    <t xml:space="preserve">an artistic story can take a long time to finish, due to the nature of the work. the 2 first tasks are subjective, so the artist can take a long time doing iterations. the time to complete it can still be greater than the sprint, or the effort estimation could be way off. </t>
  </si>
  <si>
    <t>Using Scrum, what would be the way to define, structure and estimate a user story...greater than the sprint...</t>
  </si>
  <si>
    <t>greater than the sprint</t>
  </si>
  <si>
    <t xml:space="preserve">effort estimation could be way off [...] breaking this story in smaller parts is making an "horizontal slice" of the app and not a "vertical one" as would be better. </t>
  </si>
  <si>
    <t>Falta de linguagem comum para histórias técnicas entre disciplinas diferentes</t>
  </si>
  <si>
    <t>we are finding it very hard to convey enough meaning such that every technical team member can understand it... What could be the technical story's lingua franca?</t>
  </si>
  <si>
    <t>I have coached my team to write quite good user stories using gherkin. The user story's lingua franca would be gherkin.</t>
  </si>
  <si>
    <t>Como estimar épicos vagos para previsão inicial</t>
  </si>
  <si>
    <t>Let's say we have a brand new project and we want to raughly come up with a bunch of releases and its dates. How do you get the team to estimate them? Epics have normally no acceptance criteria and are quite vague</t>
  </si>
  <si>
    <t>run a couple of sprints, figure the team's velocity and do the math.</t>
  </si>
  <si>
    <t>run a couple of sprints</t>
  </si>
  <si>
    <t>Epics have normally no acceptance criteria and are quite vague so the team might get a bit puzzled.</t>
  </si>
  <si>
    <t>Como determinar o custo monetário de um Story Point</t>
  </si>
  <si>
    <t>How can I determine the monetary cost of a user story point in a given team? I have no clue how one could determine the cost of a story point</t>
  </si>
  <si>
    <t>The team assigns T-shirt...planning poker... team velocity.</t>
  </si>
  <si>
    <t>after trying planning poker for a while...  team delivers (on average) the same amount of subjective story points per iteration</t>
  </si>
  <si>
    <t>We won't know our velocity for a while.  how much a given project would cost.</t>
  </si>
  <si>
    <t>Como integrar UX/UI ao Scrum sem virar waterfall</t>
  </si>
  <si>
    <t>I'm struggling to figure out a way to handle UX/UI in an agile way. It takes so long for the designer to deliver the designs... how do you manage this in SCRUM?</t>
  </si>
  <si>
    <t>how do you manage this in SCRUM? our 2-weeks sprint iterations.</t>
  </si>
  <si>
    <t>before the story can be put in the sprint backlog... add them to the sprint backlog</t>
  </si>
  <si>
    <t xml:space="preserve"> the devs wouldn't be able to deliver their side of the story. I feel like this is more a waterfall than an agile approach.</t>
  </si>
  <si>
    <t>Unit testing aumentando esforço e causando falha nas Sprints</t>
  </si>
  <si>
    <t xml:space="preserve">testing is taking as much time, if not more, than the development/coding time...This has led us to fail sprints... unit testing ends up taking so long that the stories don't get finished before the end of the Sprint. </t>
  </si>
  <si>
    <t>working in Scrum with 2 weeks Sprints. implementing unit testing as part of our Definition of Done</t>
  </si>
  <si>
    <t xml:space="preserve">...fail sprints... before the end of the Sprint. </t>
  </si>
  <si>
    <t>This has led us to fail sprints because unit testing ends up taking so long that the stories don't get finished before the end of the Sprint.</t>
  </si>
  <si>
    <t>User Stories muito conceituais gerando mudanças e retrabalho durante a implementação</t>
  </si>
  <si>
    <t>user-stories are too conceptual and just convey the underlying intention but lack enough details...The developer is expected to fill in the blanks at his own discretion... many of these blanks are discovered after some wrong assumptions have made made their way into evaluation time and code...</t>
  </si>
  <si>
    <t>a true intention of doing XP. XP developers being designers and analysts at the same time.</t>
  </si>
  <si>
    <t xml:space="preserve"> the volume of change that becomes necessary while implementing the stories. </t>
  </si>
  <si>
    <t>noticing added complexities emerge than initially anticipated... considered as deviation from the initial estimations.</t>
  </si>
  <si>
    <t>Dúvida sobre adequação de critérios de aceitação</t>
  </si>
  <si>
    <t>As for acceptance criteria I have come up with following:</t>
  </si>
  <si>
    <t>I have tried to google possible acceptance criteria, but had no much success. Would you say that the above user story and the acceptance criteria are adequate?</t>
  </si>
  <si>
    <t>Correlation, stoy points, task</t>
  </si>
  <si>
    <t>"...so I would like to help refine our methods to make better use of it." trecho que mais se aproxima do papel (TL/desenvolvedor)</t>
  </si>
  <si>
    <t>História mal desenvolvida</t>
  </si>
  <si>
    <t>"So I would like to write feature set for my coming product in a way they are actually relevant and prioritise them accordingly to reach my goal as reliably as possible."</t>
  </si>
  <si>
    <t>Histórias com dependências</t>
  </si>
  <si>
    <t>"The team, together with the PO, put on the wall a certain number of user stories regarding the various libraries for the IDE user"</t>
  </si>
  <si>
    <t>Definir criterios de aceitação</t>
  </si>
  <si>
    <t>"I am a developer in the scrum master role and need to get the whole team"</t>
  </si>
  <si>
    <t>Planning</t>
  </si>
  <si>
    <t>1 - There is a concept of "steel thread" that we used back at one of my previous jobs where the user story itself is a specific requirement that has a very particular expectation. Anything outside of that particular expectation should be its own user story.
2 - When you get to acceptance tests that defined what is NOT supposed to happen, that actually, in my opinion, should be its own user story.</t>
  </si>
  <si>
    <t>Design gera dependencia</t>
  </si>
  <si>
    <t>Falta de informação</t>
  </si>
  <si>
    <t>"Giving this sentence, project managers expect me as a developer to commit to an estimate and develop the story."</t>
  </si>
  <si>
    <t>"How to keep all the developers on the same page in Scrum?"</t>
  </si>
  <si>
    <t>"We are a small team of 6 developers."</t>
  </si>
  <si>
    <t>Dificuldade em escrever user stories</t>
  </si>
  <si>
    <t>Escrita fraca de user stories para sistema legado</t>
  </si>
  <si>
    <t>"I am the scrum master for one of the products in a software development company."</t>
  </si>
  <si>
    <t>Catogirazação de demanda diferente</t>
  </si>
  <si>
    <t>"As the development manager..."</t>
  </si>
  <si>
    <t>Prescrição prematura de soluções</t>
  </si>
  <si>
    <t>"I believe that as a software engineer part of my job is to understand the user's needs"</t>
  </si>
  <si>
    <t>1 - What I have found in over 13 years of software engineering is that I need to talk directly to the customers and sometimes even end users (often in software these are separate entities).
2 - I would recommend talking to your management and argue that you need to be involved earlier in the process, ideally right after sales exits the picture and the BAs enter.
3 - For existing projects, I would work through your project manager and try to cut the BAs out of the picture. You will likely get answers that match what you have already been told. Do not accept this. Try to get in meetings with the customer to discuss requirements.
4 - Essentially, keep asking questions and do not shut your mouth until you fully understand what the customer wants.
5 - Direct and honest communication between the development team and all stakeholders is the only reliable way of delivering great solutions that I know of.
6 - Pragmatically speaking I would suggest that you choose a pet feature and make it the best you can - if it works out, you may get a bigger feature to work on and the success of the first feature would give you more leverage in discussions how to do things.</t>
  </si>
  <si>
    <t>Incerteza técnica por ausência de definição visual</t>
  </si>
  <si>
    <t>"Our BA then asked us to estimate these stories. I went, hang on."</t>
  </si>
  <si>
    <t>1 - Some say that in an ideal world the team will do all of that in a sprint -- but only enough UI design for that sprint. Others are more pragmatic and say it can't be done, and will do design in one sprint and coding and testing in another, or design and coding in one and testing in another.
2 - A common pattern is to do design work / UI stories in one sprint and code in the next.
3 - That being said, estimates are just that: estimates. Nothing in scrum requires that they are accurate only that they are consistent over time.</t>
  </si>
  <si>
    <t>Ambiguidade na titularidade da entrega</t>
  </si>
  <si>
    <t>Conversão de complexidade em métrica financeira</t>
  </si>
  <si>
    <t>Dificuldade na criação de tarefas</t>
  </si>
  <si>
    <t>Desvantagens de histórias verticais</t>
  </si>
  <si>
    <t>UX sem valor em histórias</t>
  </si>
  <si>
    <t>Sizing conflitante</t>
  </si>
  <si>
    <t>Times em uma unica task</t>
  </si>
  <si>
    <t>"I have been reading the book, Scrum Shortcuts Without Cutting Corners"</t>
  </si>
  <si>
    <t>1 - The goal of scrum is to enable the team to be self-directed. There is no universal right way to write stories and tasks. The goal is for the team to work together to accomplish a task.
2 - Since it is the team that has to do the work, the tasks that you develop must work for your team. 
3 - No book knows your product, your stories, your team, or your working environment. The goal is to work together to create great software. You're going to have to figure out what works best for you.
4 - If you are just getting started, do it by the book for one sprint. Maybe two. Do your retrospectives, and take them seriously. Figure out what parts of what you tried worked, and what parts didn't work so well. If it turns out you picked the wrong book, you only have to deal with that for one sprint. Learn, lather, rinse, repeat.</t>
  </si>
  <si>
    <t>Tempo perdido entre epicos</t>
  </si>
  <si>
    <t>Kanban</t>
  </si>
  <si>
    <t>Relacionar tasks e user stories</t>
  </si>
  <si>
    <t>Utilização de user story maps</t>
  </si>
  <si>
    <t>Dificuldade em pontuar tarefas de infraestrutura/DevOps muito grandes</t>
  </si>
  <si>
    <t>Histórias sequenciais gerando retrabalho</t>
  </si>
  <si>
    <t>1 - Rework done under iterative approach (which may have user stories as its part) is still rework. But the approach enables you to select rework which brings the most value, deliver it faster and get feedback faster.</t>
  </si>
  <si>
    <t>Incerteza no planejamento de histórias que geram novas demandas imediatas</t>
  </si>
  <si>
    <t>Histórias de usuário enganosos ou pouco úteis</t>
  </si>
  <si>
    <t>1 - Use job stories instead.
2 - You shouldn't expect to understand everything from the summary.
3 - Try to see summaries as "pointers". Your team should have a session to review top backlog items (to get to know the actual "content"). Next time people look at the backlog, by reading the summary, they should have an idea on what each item is about. Reading about backlog refinement might help you.
4 - Now, taking into account your specific Story examples and your Jira usage. If you use a Scrum board instead of Kanban board, you could group the above stories beneath an Epic called "payment by card"... and then, at the Scrum backlog, you could click on this Epic on the Epic filter on the left side of the backlog.</t>
  </si>
  <si>
    <t>Dificuldade em fatiar verticalmente histórias em sistemas distribuídos complexos</t>
  </si>
  <si>
    <t>"We are a small team of 4 software developers"</t>
  </si>
  <si>
    <t>1 - So the point of vertical slicing is to take something like the database and say precisely, “I do not need the whole database right now.” So let’s validate your claim: do you need the database?
2 - Let us be clear about what a database does: it distributes changes of state across several servers, and persists those changes when the server restarts. If you want plain persistence but no distribution, you can write to a local JSON file or so. If you want distribution but no persistence, you can have nodes broadcast messages to each other e.g. with ZeroMQ.
3 - So you don’t need a database. You might need (if you have a list mapping some smartcard tokens to some sort of internal username) some static JSON file...
4 - Similarly, do you need a big Javascript SPA? I don’t think so—you might need a card reader or an HTML form depending on whether it’s a hardware token displaying some digits or something more interesting.
5 - Do you need a permissions structure? No, the only permission your user story covers is “is able to log in with a username and a smartcard associated with that username” and that is a global permission.
6 - In fact you should desire this. I would strongly recommend that you delay creating the database as long as possible, which means, until you have real users who will get grumpy both about downtime and about their changes not being persisted over server restarts.
7 - The short answer is: no, do not slice through all of it unless the thing you are doing actually goes through all of it, then keep it limited in scope.
8 - Also, start with simple architectures. You almost certainly don't need all of those things to support your first few backlog items.
9 - I've found that a good starting point is the idea of technical enablement. You have a top level expression of a need, but you can create other Product Backlog Items that can enable that. Each one should be able to be designed, built, tested, and delivered independently. Perhaps, alone, they don't satisfy the final user need, but they allow you to plan the work and ensure that you have what you need.
10 - Depending on the tooling that you are using to manage your Product Backlog, you may be able to set relationships and links between the work to identify that a technical enablement item "blocks" other work or set dependencies appropriately. This can help in planning and scheduling the work, making sure that everything required is done and delivered when its needed.</t>
  </si>
  <si>
    <t>Histórias não concluídas por falta de informações do cliente</t>
  </si>
  <si>
    <t>"me as a leader"</t>
  </si>
  <si>
    <t xml:space="preserve">1 - The first is to work on something else, something on which you are not blocked and don't need to wait for answers.
2 - The second is for people to stay idle while they expect an answer. Basically the story is blocked and you just wait until you get the information you need.
3 - Work on getting your customer more involved. If they don't want to get more involved, then they must accept the fact that people won't be able to work at full capacity because they are awaiting answers
</t>
  </si>
  <si>
    <t>Dificuldade em aderir ao Scrum e ao INVEST devido a dependências estreitas</t>
  </si>
  <si>
    <t>1 - First, don't break down the item. In this case, the work item (the story, ticket, whatever) represents the minimum valuable delivery of the work and can be estimated by the team and worked on.
2 - Second, break down the item into smaller pieces, each of which can be developed and tested, but may not necessarily be deployable. After each piece, you can confirm that the system is functional (no loss of existing functionality) and you can execute some level of testing against the work done, but the individual pieces may not have value for the end user and may not be shippable until all pieces are done.
3 - I'm going to lean towards breaking it down.</t>
  </si>
  <si>
    <t>Dificuldade em estimar User Stories</t>
  </si>
  <si>
    <t>1 - Using Story Points and Velocity is not for management to plan on when a project is going to be done. They aren't for anyone outside of the team. These concepts exist to help a team plan their next Sprint, to provide a reasonable sanity check that they are forecasting the completion of an appropriate amount of work and committing to an appropriate Sprint Goal.
2 - My advice is to not try to mix Agile Software Development and traditional project management methodologies. Embrace empiricism, adaptability, flexibility, and the responsiveness to a changing environment. Focus on value delivery and knowing when the costs will exceed the potential remaining value.</t>
  </si>
  <si>
    <t>Dificuldade em aplicar o critério INVEST ao fatiar histórias interdependentes por questões regulatórias</t>
  </si>
  <si>
    <t>1 - Each story should be valuable independently. But don't get too hung up on it.
-
In your case I would specify the auditing requirement in two parts.
2 - As a stand alone story for the person who needs to look at the audit data:
"As an Auditor I can read/download/export the audit trail on 'the things' in order to meet 'the regulations'"
3 - As a non functional requirement/DoD on any other stories that have to record the data
"Must record X Y and Z to 'the audit system'"</t>
  </si>
  <si>
    <t>Dúvida sobre considerar uma história concluída quando o desenvolvimento termina, mas o teste (QA) ainda é necessário</t>
  </si>
  <si>
    <t>1 - The direct answer for almost all teams is that QA must be complete to call a user story done.
2 - So, the more complete answer to your question would be: If QA tests must run and pass before your product can be shipped to end users, then it should be in your definition of done and must be completed in the sprint in order to move those backlog items to a "Done" state.
3 - A story is not "done" till it meets its functionality and is tested for completely.That means you need to bring in QA within your sprint and not as a separate stage.</t>
  </si>
  <si>
    <t>Dificuldade em definir e estimar histórias de usuário para trabalhos artísticos devido à sua natureza</t>
  </si>
  <si>
    <t>Barreira de comunicação técnica</t>
  </si>
  <si>
    <t>"I have coached my team"</t>
  </si>
  <si>
    <t xml:space="preserve">1 - For the example of a change to a RESTful API, I would write something like the following:
Scenario: Registered web client calls Foo(int id) method to get a list of Bars.
GIVEN: The client is a registered user of the API
WHEN: The client calls the Foo(int id) method
THEN: The API will retrieve the list of Bars for the passed ID
AND: The API will return the list to the client
2 - Or...
Scenario: Registered web client calls Foo(int id) method with an invalid ID.
GIVEN: The client is a registered user of the API
WHEN: The client calls the Foo(int id) method
THEN: The API will fail to retrieve the list of Bars for the invalid ID
AND: The API will return the following error message to the client: "Bad ID!"
</t>
  </si>
  <si>
    <t>Epics imprecisos; Falta de refinamento;</t>
  </si>
  <si>
    <t xml:space="preserve">1 - Epics are much larger. They are collections of stories. You don't work on an epic, you split that epic into stories and work on those stories. The epic will then simply have the points of all its stories combined.
2 - The way you find out how many story points an epic has is by splitting it into stories, discussing those stories, detailing what needs detailing, estimate the stories, and get back a total of story points for the epic itself. And you do that as you refine your backlog and as you plan your next sprint. You don't do that for all the epics in the backlog.
3 - The standard approach to estimating is to take large work items and split them in finer details that you can estimate with some confidence. This mean taking all the epics and splitting them into stories.
4 - When estimating epics, there are two things that hold the same as for estimating stories:
    a discussion that leads to a consensus about the size of an item;
    relative sizing of items.
5 - So, you take your epics and you start discussing them enough to determine their size. You can't say 300 story points (SPs) without going into many details, but you can discuss enough to say that this is "Large". You do this for all the epics and you put them in buckets of relative size: XXS, XS, S, M, L, XL, XXL.
</t>
  </si>
  <si>
    <t>Estimar custo de história</t>
  </si>
  <si>
    <t>"How can I determine the monetary cost of a user story point in a given team?"</t>
  </si>
  <si>
    <t>1 - You don't convert story points into money. The cost of a software development effort is a function of the team for a period of time, perhaps considering resources if you forward those costs along. 
2 - However, story points do not convert to time, so you cannot use them as an input into cost. Story points are also highly volatile, so even if you tried to convert story points to time, it would not be a long-lasting function.
3 - The common answer is that you know how long it takes to pay for a team to work for a period of time. Given an ordered (often considering priority and dependencies) set of work, you can estimate how long it would take to do that particular chunk of work.
4 - Story points are supposed to be abstract, they are only ever intended to be used as a relative measurement that is quick to estimate. Once you attempt to translate story points into a cost (e.g. 3 points is 15 hours) you get a false sense of accuracy, and your estimates become much harder to come to a consensus on.
5 - If you need to give time / cost estimates, you can, but that should be entirely separate from your point estimates.</t>
  </si>
  <si>
    <t>Dependência de mockups para estimativa; Dificuldade com UX/UI e histórias</t>
  </si>
  <si>
    <t>1 - I think there is a misunderstanding here, which is that in Agile there isn't any "upfront anything" and that the current iteration is the only place that things must happen. If this misunderstanding exists, people try to plan and do work only for the current sprint, which isn't always the best approach for all situations, as you've noticed.
2 - If the designs are complex and take time to be built and it's essential for the developers to know how they look like to know how to estimate and what work is involved, then obviously you need the designs before you plan your current sprint. That means that the designer should work ahead of the developers to agree with the PO what is needed from an UX/UI point of view and prepare the designs ahead of time.
3 - that the designer doesn't become a bottleneck and a blocker in your team's work. You say that "Sometimes, the designs might even be longer than our 2-weeks sprint iterations." This is a red flag.
4 - try to avoid waste. If the designer works ahead of the team, then they might be missing some insight that the team can offer. 
5 - You already understand that UX/BA activities should be done before the Sprint starts, as developers need stories for planning. Your real question is how do you justify this approach from Scrum perspective (it's always the question with Scrum).
- UX/BA tasks are part of the sprint. But their job isn't to deliver a working software, but it's still about delivering value. Which is all we need from Scrum perspective.
- Treat UX/BA as Product Owners. PO has to be prepare stories for planning.
6 - As for managing tasks: personally I would return those tasks back to TODO and give them to developers. Just to decrease the number of extra noise in the task tracker. You can say that the job of UX is to prepare (describe) those tasks for developers.
7 - don't try to be "fully Agile". When you say this - it means you're trying to follow some abstract ideas "to the letter". But the main idea of Agile is to be flexible and make decisions which make sense in your particular situation. So Agile is always different.
8 - It is a misconception that a story should be fully designed, developed and tested in a single sprint. It puts the team in precisely the same predicament you describe. The "design" of a story could include many artifacts outside of code.
9 - The larger the story, the more prep work needs to be completed before the team can estimate the effort and design the technical solution. Indeed, a mock-up or visual of some sort is essential. You are also correct in identifying that this design work can take more than one sprint.
10 - Rather than adapting the workflow of gathering requirements to fit a sprint, work with the developers and testers on defining what is "ready" for sprint planning.
11 - Consider the UX/UI designer as part of the SCRUM team. Whatever he/she does is a story, like all other stories.
12 -  Consider the UX/UI designer as external to the SCRUM team.
13 - At this point, it is a good time for the devs to ask questions about parts of the design that actually have a measurable influence on effort.
14 - If the implementation of the design is larger and takes more than one sprint, still do break it down into smaller pieces, and implement them piecewise - making sure the designer understands which parts are hard to change later.</t>
  </si>
  <si>
    <t xml:space="preserve">Inexperiência </t>
  </si>
  <si>
    <t>1 - But now you need to deliver production quality software. And that takes longer than prototypes. There is little you can do. Improve your estimations to take that into account so you don't fail sprints.
2 - But if your team is not producing enough at the quality you need, there is no silver bullet. You need more people. Hire another Frontend developer and backend developer. Producing production ready software instead of prototypes is easily double the work.
3 - Even though you did not ask: hiring more people gives you a chance to improve your processes.
4 - You need to be able to compensate if one of them has a week of for vacation or has to call in sick. You need to get your team to production size.
5 - The real problem here is that your organization is framing the cost of testing as unwanted overhead, rather than as an expected and necessary cost of doing business for product development, maintenance, and support. Focus on fixing that.
6 - TDD and BDD are not "go faster" buttons. While teams often do get a little more efficient with testing over time, the goals of testing are more closely aligned to:
    - Reducing technical debt.
   - Eliminating certain classes of common or predictable bugs.
   - Creating executable documentation.
   - Making code more flexible through emergent design and comprehensive regression tests.
   - Making testing, support, and maintenance easier by designing the code for testing and debugging right up front.
7 - Testing is not a necessary evil.
8 - You need to budget in more time for testing - and even more time for fixing bugs that are discovered once testing begins.
9 - To "to improve this process so that testing is more streamlined/faster", make testing the focus, not a punishment added on post-scheduling.
10 -You mention that your stories are large and cannot be shrunk. Possibly you need the help of an experienced Technical Project Manager, to help explain to your team how to shrink the stories.</t>
  </si>
  <si>
    <t>Escrita de histórias fraca</t>
  </si>
  <si>
    <t>XP</t>
  </si>
  <si>
    <t>"The developer is expected to fill in the blanks at his own discretion by the virtue of XP developers being designers and analysts at the same time."</t>
  </si>
  <si>
    <t>Critério de aceitação de user storie</t>
  </si>
  <si>
    <t>1 - I think that your acceptance criteria are a bit to specific on the implementation details. For example, “Main page” has to fit, then “Log in page” must fit, etc.
2 - Your acceptance criteria should probably capture general rules that apply no matter the device then introduce some "breakpoints" for how many designs you want to build (basically the view port sizes where your @media queries start to dictate how elements appear on the screen).
3 - So I would personally start with a few rules like:
    application needs to be responsive;
    horizontal scroll should not show up, content gets expanded vertically when not enough available space
    min/max widths for media queries are 360×640 for mobile, 768x1024 for tablet, 1920x1080 for desktop (or some commonly accepted dimensions);
These should be enough for designers to accommodate the UI/UX for the three use cases (mobile, tablet, desktop) and for front-end developers to add the media queries to handle the elements in the page.</t>
  </si>
  <si>
    <t>Problema (Pergunta)
Nicole</t>
  </si>
  <si>
    <t>Problema (Pergunta)
Yuri</t>
  </si>
  <si>
    <t>Possíveis soluções - Consenso</t>
  </si>
  <si>
    <t>OK</t>
  </si>
  <si>
    <t>1. Different purposes explain the poor correlation.
2. 2: Assigning tasks based on the developer's skill level.</t>
  </si>
  <si>
    <t>1. They don't really collerate well because as you said, they are used for different purposes.
2.   "Also, you know your devs and there skill level, so if you have a junior dev, dont give him the 3's, but the 1's so that he does not drown. ."</t>
  </si>
  <si>
    <t>1 - In all cases, we have a technique for preventing all the bad/unusable from overwhelming the good. It's called "Quality Assurance".
2 - It turns out that it's hard. You can't get a "great" plan without "great" user stories. And you can't get "great" user stories without some definition of greatness and the Quality Assurance to establish their greatness.
3 - What you're not doing is assuring that all stories meet the quality standards. What you need to do is to assure that all stories meet the quality standards before you use them for estimating.
4 - High quality user stories aren't essential. Bad user stories are part of a great plan because they get reworked to improve their quality.
5 - Don't write very low-level stories early on. If you are planning a release that is 6 months out, no need to fill backlog with 1-2 point stories. That creates too much to manage. Instead, define larger chunks (i.e. epic stories). Break down more important ones which you will start working on first, but leave the other ones at high point estimate. That will help you keep number of stories in the backlog low
6 - As others pointed out, story hierarchies are your friends. Which ties into (1). When you get to a point where better estimate is needed take your Epic (or plain large) story and split it into smaller stories which will become it's children.
7 - In the past, our backlog appeared as unmanageable mess of stuff which served no predictive value. The key, which we've learned in the last release, is to continuously do some form of release planning and periodically check to see what is in the backlog. The order of stories should match the priority in which these stories should be done. As priorities/requirements change, backlog needs to change with them. Periodic reviews will
ensure the team knows what's ahead and
keeps the backlog from becoming a dumping ground
8. if you are missing the "great high-level plan", write down some general, high-level project goals beforehand.
9. Improve vague stories by filling in the real benefit: "so that I'm allowed to ______
10. Arrange stories hierarchically by functional areas.
11. Stop writing value-less goals.
12. Ask: does this user story lead to meaningful and testable requirements?
13. that backlog should never be planned out more than 12-18 months in the future
14 - What's the size of your team? We've split our development group into 3 separate agile teams. This way we have 3 scrum masters, 3 planning meetings and each team only has 1/3rd of the stories that they actually need to manage and shuffle. Our team was split based on functional areas of the product and then the functional areas were adjusted for equal load.
15 - I don't believe there is is an easy-to-learn guideline which can help you - just practice "requirement engineering", and after doing this for some months, you will get better in this job.</t>
  </si>
  <si>
    <t>1. Split the tasks into three groups: (1) Common tasks needed only once, (2) Common repeated tasks, and (3) Specific tasks. Estimate each task separately, where common tasks are estimated only once. When presenting to the customer, give two estimates for each story: one with the "common, needed once" tasks included and one with them excluded.
2. Step away from simplistic. There are are one-time investments that make a group of stories less expensive. You have to actually talk with folks about the architecture instead of pretend that your only interaction is a list of stories to be built. Agile means you have to actually talk with the PO and the customers.
3. pick one of the things dependent on that design work and say that it has to be first and add those points to that one. Make notes on the other stories that they have to come later, and if, for some reason, you change your mind, you can always move the points around
4 - Then you estimate each task, where the common tasks should be estimated only once.</t>
  </si>
  <si>
    <t xml:space="preserve">1 - Design work is done in sprint
2 - Design as separate stories
3 - Design is part of our definition of ready
4 - ...I tend to encourage teams to worry about the development effort, rather than also including analysis, UI design, testing, etc.
5 - With regard to working collaboratively rather than having dependencies, I've usually encouraged the analysts and designers to work a sprint ahead of the developers, making sure that enough is done for the developers to have an idea of the scope of the work they're taking on in the planning meeting and estimate it with as much confidence as they can.
6 - Keeping things easy to change later makes the pre-sprint analysis very much more lightweight, and can help teams to collaborate more effectively, regardless of their role.
7 - When working with software, I believe design done right is always going on. I look at stories as business/user focused, not development focused.
8.  I think the best way to handle this question is by having clear and defined coding and design standards that the team adheres to with an almost religious fervor. As the story is reviewed in the backlog via weekly grooming meeting it is updated and a rough design is agreed to based on the teams accepted standards. This should also increase your velocity and lower the number of stories that failed to gain acceptance because they could not be completed due to found work.
9.  If you are talking about Graphics and UI I have always found it helpful to have this effort broken into two or more stories, the first story delivers the functionality without any of the bells or whistles, this gives the design team something to iterate on and come up with a final design in a following iteration.
10. I think that a good definition of DONE is useful in this case. My team will know that if they mark a user story as DONE, it should be analysed further, designed, implemented, refactored, tested, peer reviewed, and integrated into the build - the story is potentially shippable. It is also helpful if your team develop software that has a decoupled presentation layer (meaning that the UI is coded separately to the logic). This technique will reduce the dependency between most stories. 
</t>
  </si>
  <si>
    <t>1. What you are calling a user story, I see as at least six: one bare-bones search, and one for each of your bullet points. By all means, make enough plans to avoid painting yourself into a corner that's going to be expensive to get out of, but the whole idea is that you provide the minimum needed to deliver some value, and do it quickly enough to get rapid feedback.
2. You're supposed to take a story and apply "story points", which are a general estimate of complexity from 1 to INFINITY. Generally, any user story that is an 8 or above needs to be broken down into smaller stories. 
3. A critical part of a "user story" is the exit criteria. The exit criteria is a short sentence or two that describes unambiguously how it can be shown that this storage is completed. 
4. That's why having a good client services department that knows the product and the client is invaluable. Your goal, and the goal of client services, should be minimizing the lag time between you developing something and you getting it back from the client with changes that need to be made. And this just comes down to communication and training with your client services.
5 - Also, on the idea of programmers needing everything specified, try to look at it from the customer's point of view. A lot of times, it's like you're going in to buy a car, and the salesman is asking what color you want for the windshield wiper knob. A lot of details we might find important are completely irrelevant from a customer point of view.
6 - You really should only be estimating time once you have accepted the story into the sprint, but even then, there is less emphasis on this. 
7 - There is certainly an element of "training the PMs" here. They have to learn that vague stories result in large story points, and that if they defined the story to ambiguously to get what they want, they have to do it again.
8 - That's why having a good client services department that knows the product and the client is invaluable.
9 - We're having the same problem here, and better communication and training is what's helping us create reasonable deadlines and hit them consistently.</t>
  </si>
  <si>
    <t>3. Leverage diverse team skills by involving multiple members in each story</t>
  </si>
  <si>
    <t>1.  you can demonstrate why it is good to share or switch user stories (until it doesn't risk the delivery dates). Take the last Sprint as an example, and pick one team member, and ask the team what would have happened if got removed from the team in the middle of the Sprint? Have a discussion, and put down the findings. Then, pick another member, and do the same. Repeat this until the team concludes that it is impossible to continue Sprint. Collect the findings, and let them figure out how to increase the bus factor by one.
2 - I suggest to have a retrospective, where you'll try determine the bus factor of the team (how many members should leave the team in order to make the delivery impossible).
3 - Such idea puzzles me of course, cause if your team has variety of skills, each user story should be touched by as many hands as needed in order to drive it home safely.</t>
  </si>
  <si>
    <t>1 - Write user stories for reliability, security, capacity or any other quality that is deemed important.
2 - I watched the agile team here at work create activity diagrams (flow charts) of the business process. These diagrams were used to analyze the feature dependencies. Another approach might be to create PERT diagram in a big all-day session with the customer. In the end, some other artifacts will be necessary to support the user stories.
3 - Epic!
A narrative that describes the scope of a project is a good idea. There should be something like a statement-of-work or a project charter. No serious project should be without one. These documents provide a starting place for identifying user stories.
4 - Understanding the context would have been helpful before I went to the business analyst for clarification.
5 - This user story is testable. Average day time call volume can be determined from log files. Performance testing can be conducted to determine if the requirement has been met. Even better, the users and developers have agreed on the success criteria well in advance of the end of the project. Testable requirements are a beautiful thing.</t>
  </si>
  <si>
    <t>1. (1) Discard outliers, then calculate the mean. This is usually my preferred method when a story has been properly decomposed.
(2) Calculate the average, including any outliers. (3) Split out contentious tasks into separate-but-dependent stories that can be estimated separately. (4) Remembering that estimates are educated guesses, not promises written in stone. The PO can work with the team to split or rewrite stories, or re-prioritize the Product Backlog on-the-fly to swap in a different story that fits better within the current sprint.
2. Product Owner should ask those who see this story as a 20-pointer to break this story down to 3-5 point pieces; this will help to identify the problematic spot and (if necessary) add one or more research spikes in order to clarify the situation.
3 - Much of Scrum's value to an organization is in creating transparency. 100% agreement isn't the real point of planning poker; the goal is actually to narrow the cone of uncertainty around feature estimates as much as possible, and to make the level of effort and potential project risks of each story visible to stakeholders through their chosen proxy, the Product Owner.
4 - The key, of course, is that people need to talk about why their estimates are outliers, so that the team can consider this information when re-estimating each round. If you still have outliers after discussion has been exhausted or when the time-box has expired, then you have to use your team's defined process to find a reasonable compromise.
5 - the prudent approach would be to schedule a one-point research story first to build a proof-of-concept. Based on the outcome, the whole team can learn something and move forward more confidently and cohesively.</t>
  </si>
  <si>
    <t>1 - You can increase the accuracy of your estimates with increased Product Owner participation, training and documentation stories, and story spikes.
 2 - All Stories MUST Be Estimated
3 - The estimate should be as accurate as you can make it within the time-box allocated for Sprint Planning.
4 - Estimates Should Include Uncertainty
5 - Spikes
The first step is to reduce your uncertainty as much as possible.
6 - Create Training Stories
7 - Get one SME from the US to travel to India and train the entire team hands-on for a couple of weeks at a minimum.
8 - Get a couple of key team members from India to travel to the US for a few weeks of hands-on training with the SMEs.
9 - In addition to the Product Owner, get one SME from the US team to participate in the Sprint Planning meetings. Get the PO to write-up the stories ahead of the Planning meeting. Get the India team to plan out how they are going to implement them as well as estimate and task out the stories. During the Planning meeting, get the US SME to validate whether that is the right approach.
10 - For better communications, these Planning meetings should be on video, if they are not so already.
11 - Your stories should have a clear list of testable acceptance criteria, if that is not the case already.</t>
  </si>
  <si>
    <t>1. In Scrum, all work chargeable to the project belongs on the Product Backlog. This includes bugs, training, and research in addition to features. While it is a widely-accepted practice to formulate user stories for placement on the Product Backlog, Scrum doesn't constrain the format. There is nothing preventing you from reformulating the additional work items as user stories and submitting them to the Product Owner for insertion into the Product Backlog. Bugs and chores, non-functional requirements, team or organizational training, research spikes, and any other effort that consumes project resources should all be managed from the Product Backlog. Not adding them to the Product Backlog results in hidden costs to the project and work that is invisible to the organization.
2 - Non-Feature Stories
CodeGnome's Law of Transparency says "No invisible work, ever!" That means that:
bugs and chores;
non-functional requirements;
team or organizational training;
research spikes; and
any other effort that consumes project resources
should all be managed from the Product Backlog. Not adding them to the Product Backlog results in hidden costs to the project and work that is invisible to the organization
3 - From a process point of view, there is nothing preventing you from reformulating the additional work items as user stories and submitting them to the Product Owner for insertion into the Product Backlog.</t>
  </si>
  <si>
    <t>1 - In your case, I think both front-end and back-end should be a single story.
2 - Divide it into tasks. The developers own their different tasks.
3 - Make sure you include QA-assigned tasks in the same story - without validation a story is useless.
4 - If you want quicker feedback loops, try breaking the use-case into smaller end-to-end features.
5 - It depends. I've seen both ways work. If the story is large enough to have two developers work full time on it, then maybe it should be split. If the two developers are part of two different teams, then maybe it should be split. If the two developers will work on it during different sprints, then maybe it should be split.
6 - That being said, one person owns the story and is responsible for updating on the progress of it and ensuring everybody's done their piece and that it is working together. This is the person for us who reports that a story is "done".
7 - Like others have suggested, my team also divides our user stories into tasks.
8 - But an alternative for tasks would be to just reassign ownership as each person finishes up their part.
9 - But in any case, I recommend never calling a story "done" until the team agrees that it is done, including testing.</t>
  </si>
  <si>
    <t>1 - The common error is to assign a time or cost value to a point, but in reality the value is determined by environmental factors and teams actually doing the work.
2 - So, if you are estimating a group of stories based on previously completed stories...think a conversation like, "This new story will be a lot like this other story that was a "5" so this new story will probably be a "5"."
3 - Stories are not estimated in terms of effort, so why use dollars?
4 - I don't think that it is a good Idea for estimating complexity or time of the stories in dollars.
5 - A list of estimates 50$, 100$, 200$, 400$, 800$, 1600$, 3200$ could be useful for estimation of value from business point of view and it is responsibility of Product Owner (e.g. How profitable this feature is?).
6 - Could you follow 5-Whys technique to define the root cause for using these scheme? I think there might be another and better solution for an issue that you are trying to solve.
7 - A product owner / stakeholders should calculate in dollars / money.</t>
  </si>
  <si>
    <t>What would a Task-Ticket look like?
Is it a user-story like: As a guest I want to be able to register myself with the site or should I split them into tickets/tasks like Create a registration page/form, Send an email to to the user when registered. Is it a good practice to use user stories, or what is the best way to go?</t>
  </si>
  <si>
    <t>1 - What is important is to maintain the relationship between the task and the parent user story as the story conveys the value to the customer that underlying tasks should enable upon implementation.
2 - Finally, consider that issue tracking and task tracking are 2 distinct activities.
3. Create a GitHub milestone to correspond to a feature or user story when ready to start decomposing it, then file an issue for every associated task and assign it to that milestone. This way you will easily be able to see all the work associated with the new feature, see progress through the sprint, see new associated work appear as tasks need further decomposition. Milestones can have due dates for the end of the sprint. If working multiple features in a given sprint, have multiple milestones with the same due date to see the progress of each feature independently.</t>
  </si>
  <si>
    <t>The problems I see with having 2 separate stories is that: US2 depends on US1 to be achievable (this breaks the I of INVEST right ?).
US1 without US2 does not bring any real business value. Releasing the product with only US1 would provide the capability to design card views that are useless without US2.</t>
  </si>
  <si>
    <t>5. Delivery means ready to ship, not necessarily released, release is driven by business value.</t>
  </si>
  <si>
    <t>1. The best approach is to keep the stories separate. To demonstrate that users can use a 'card view' to browse the database only requires that some form of card view is available. Thus you can demonstrate US2 with one or two hard-coded card views and inform the stakeholders that there is another story underway to allow a user to create them. You also shouldn't be fooled by the 'delivery' you make at the end of a sprint. You deliver a potentially shippable product. This doesn't mean that it will be shipped to customers. A product with only one of two related stories most likely won't be shipped in that form. 
2. In Agile/Scrum we try to deliver small slices of end-user value by vertical slices across different architecture layers. Scrum advocates doing all functional work needed to deliver end-user value within the same story. For your example, you can probably use Pattern #8. You can write one story that allows the user to view the data. You can write other stories for creating, editing and deleting data.
3. If you are writing user stories for the team creating Microsoft Access and you want to have the functionality to 1) design a card view in the IDE and 2) have the card view render a certain way to users, then you do, in fact, have two user stories that are independent. If you were to do US1 first, maybe you have a big developer conference next week and being able to show the design of the card view during a code session could be unbelievably valuable. You may choose to wait and release them both at the same time, but that's a business call.
4 - The best approach i to keep the stories separate
5 - You also shouldn't be fooled by the "delivery" you make at the end of a sprint. You deliver a potentially shippable product. This doesn't mean that it will be shipped to customers, but only this: If the Product Owner finds that the product has sufficient business value to actually ship, then he can ship it without additional work from the development team being needed.
6 - Split stories into small vertical slices
7 - You can read this article for different ways of slicing a large user story into smaller vertical slices. For your example, you can probably use Pattern #8. You can write one story that allows the user to view the data.</t>
  </si>
  <si>
    <t>1 - I think it's important to distinguish between slicing by individual responsibilities vs. slicing by team responsibilities. I'll focus this answer mainly on slicing teams.
2. In the short term, and for a team new to this kind of development, the main disadvantage is that it takes some getting used to and some learning. The most efficient way to work vertically is to have full-stack developers. If your team is not used to working on vertical stories, they are very likely to split them into tasks corresponding to layers and then distributing the tasks to different people. This will be very inefficient. Tolerate this pipelining initially while making it clear that the long term goal is completely different. Have team members across layers pair program so to build up trust and eventually enable people to be completely independent.
3 - As others have mentioned, secondary structures/behaviors that slice the other direction can help mitigate the drawbacks of either system.
4. Anyone needs to be able to work on any area and everyone is expected to fix the bugs they find (Collective Code ownership). When making the change to vertical stories, Pair Programming can help -- if you aren't confident grab someone in the team who is and pair with them. Without strong owners over layers there was some duplication emerging -- make sure that you practice Refactor Mercilessly with appropriate tests to support. Vertical User Stories made problems more apparent -- after the switch, problems were no longer obfuscated across teams or application layers
5 - The most efficient way to work vertically is to have full-stack developers: in this way a story can be typically executed by one person (or more than one but without pipelining tasks)
6 - The best approach I can give regarding this is to tolerate this pipelining initially while making it clear that the long term goal is completely different. Have team members across layers pair program so to build up trust and eventually enable people to be completely independent.
7 - Have lengthy design discussions with the team before implementing each story
This gets tiring quickly. It's often too early for anyone to make an informed decision and then you just end up arguing over stuff that will definitely have to change anyway.
8 - Go ahead and develop in relative isolation, keeping in mind that you're building up technical debt.
The key here is to log the technical (architectural) debt as an issue. This is something that will need to be paid back.
After a few sprints it'll be easier to decide on a coherent and unified architecture. This is when you should request a hardening sprint to pay back some of your technical debt (refactor the existing code). Alternatively, you can pay it back piecemeal over the next iterations of the project.
9 - Pair Programming can help, if you aren't confident grab someone in the team who is pair with them.</t>
  </si>
  <si>
    <t>6. Pipelining UX and development creates dependencies, waste, and reduces collaboration and value delivery.</t>
  </si>
  <si>
    <t>1 - Value isn't measured only in lines of shippable code.
2 - Don't get hung up on scrum dogma. Scrum is there to make you more efficient. If doing a UX story one sprint before you implement the UI helps you deliver better software, do it.
3 - A basic requirement of Scrum is that the scrum team has all the skills needed to create a potentially releasable product. In the situation you describe, this is not happening.
4 - If you have discovered a way of working that delivers value for you all, and you're all happy with it, keep doing it. My only advice would be to inspect and adapt frequently.
5 - User stories should be aligned with user needs, not just backlog. The UX stories need to have clear value to users. This does not require complete specification, and a short statement such as,
"Users will have easier access to account activity on a single page rather than divided between multiple pages"
is amenable and adaptable to various implementations and yet still clear about the value to the user (easier access to account activity).
6. The main disadvantages are: (1) You are pipe-lining: if your designers are late, your developers are left without work -- it is not sustainable. (2) You are paying costs for stories that may or may not be developed. (3) Your UX designers are making decisions in advance without involving the developers -- you are missing useful insights and increasing the risk that the designs are flatly wrong or unrealistic. (4) Excluding or disempowering your developers is not sustainable. (5) Designers are not delivering value: it's hard to prioritize their work correctly. (6) You are assuming that a story that fits in one iteration for the designers fits in one iteration for the developers.
7. My only advice would be to inspect and adapt frequently. Note, however, that if your aim is to deliver software using Scrum, you'll need to address the dysfunctions identified.
8 - Take a step back, and reassess.
9. In Scrum the scope for sprint N+1 is normally determined right before it starts. So how can you do UX for sprint N+1 stories in sprint N before you know which stories will be in scope. If you decide to fix the scope for sprint N+1 at the start of sprint N you lose some flexibility.
10. The UX stories are providing lots of value to their user. The thing is: their user is not the company's final user, their user is the development team that will implement the feature at sprint X+1.
11. Your group is misusing scrum because you're merely filling in mechanics to make an existing design work. You don't actually need or benefit from scrum in any way because you are in a service group and your work flows forward from the UX people who have already done the agile/scrum parts.</t>
  </si>
  <si>
    <t>Newest Questions - Software Engineering Stack Exchange</t>
  </si>
  <si>
    <t>1. Dev and testing overlap challenges story completion within a sprint.                                                                                                                                                                                                                                                                                                                 2. Well-specified stories enable developers to complete and validate work independently.</t>
  </si>
  <si>
    <t>1. It is impossible for testers and devs to work on the same story in the same sprint if they are committed to finishing the story. If you must do it then you will have to break a rule. Have the testers work on v2 of the story, have the devs commit to technical tasks rather than entire stories or have the tester work on the stories in advance of the devs.
2 - If The story is fully specced the dev should be able to complete the work in half a sprint. The tester has no work to do as the dev will test thier code against the spec before delivery.</t>
  </si>
  <si>
    <t>1. planning at task/story level instead of epic level to balance work and transition between epics.</t>
  </si>
  <si>
    <t xml:space="preserve">1 - A user story is not the same as a requirement.
2 - What I used to do, and this was a practice my team adopted, was to break down user stories into tasks.
3 - Our approach was to keep user stories focused on what the request was, why it was made, and what things needed to be true to consider the US "done". The how was always left out of the US and left to the developer(s).
4 - Beyond accepting the paradigm shift, practicing, and accrued experience, probably not much more to say. I often saw people trying to take shortcuts through the process. I'd advice against that, especially if you're getting started.
5 - Try to improve your current understanding of the conceptual differences between requirements and user stories and accept they're not the same thing.
6 - Learning from your Sprints - Retrospectives
7 - Agile principles can certainly be applied in these cases. How?
    Compilers can have new language features added later in separate user stories
    Image analysis systems can have new features added as different image classifications
    Fluid flow simulation systems can take different model aspects into account in their simulations
You don't have to eat the entire elephant in one bite. Agile just asks that you show you've cleaned your plate before the next serving of elephant.
8 - I think the obvious solution is to be more pragmatic.
</t>
  </si>
  <si>
    <t>Lean Start-up</t>
  </si>
  <si>
    <t>1. Evaluate sub-workflows to determine appropriate approaches for architecture-oriented work</t>
  </si>
  <si>
    <t>1- To be successful at agile estimation, make sure that the whole team and the stakeholders within the organization all agree on what your estimating techniques actually measure.
2 - If you're only going through the motions of treating relative-sizing as an unanchored level-of-effort estimate, then stop doing it and just measure time directly. You won't be any more accurate in your planning activities, and in fact may be less so, but at least you won't frustrate everyone by calling a comb a "dinglehopper" as Princess Ariel does in The Little Mermaid.
3 - The daily standup. We care about whether coordinated tasks are on track or not, and can use the 1-2 day rule of thumb for tasks to determine whether or not a story is on track or at risk. However, the standup-to-standup timebox is a process control, not a measure of velocity or a benchmark for team accuracy.
5 - Story points are really just an intermediate value to estimate capacity. They work well, but there are other estimation techniques. On of my favorites is TFB/NFC/1, which is a system where you determine if a story or set of stories:
    fits into a single Sprint (1)
    is too big to fit into a single Sprint and should be decomposed or refactored (TFB)
    can't be estimated as-is or with the team's current knowledge (NFC)
6 - I understand the desire to map complexity (story points) to time / money (hours / dollars), but as Jeff Sutherland puts it: (...) Meaning that time estimations are mostly wrong and gives you a false feeling of safety.
7 - Maybe you re-think the way you cut your stories, to make sure the story is NOT the task.
8 - If your Story is too big, you may also convert it to an Epic and add Stories to them.
9 - You may also think about sprint duration, why does it have to be 1 week? Most teams I know run good with 2 weeks (also reduces the number of Plannings, Reviews and Retrospectives).
1. Story points are really just an intermediate value to estimate capacity. One of my favorites is TFB/NFC/1, which is a system where you determine if a story or set of stories: fits into a single Sprint (1), is too big to fit into a single Sprint and should be decomposed or refactored (TFB), or can't be estimated as-is or with the team's current knowledge (NFC). The key strategy is to ensure that the team respect the time box. Plan only enough work to fit the iteration, and continuously refine your planning and estimation process until you can do that reliably most of the time.
2. There are tasks that are very complex but may be done in a short time AND there are tasks that are really simple, but take a lot of time to implement. So the mapping is dangerous. If you insist on mapping, use 5SP (Very Hard) -- but this should be something that can be made in 5 days. Maybe re-think the way you cut your stories, to make sure the story is NOT the task. Stories greater than 3 can be mostly splitted somehow. If your Story is too big, you may also convert it to an Epic and add Stories to them. You may also think about sprint duration -- why does it have to be 1 week? Most teams run well with 2 weeks</t>
  </si>
  <si>
    <t>1. Iterative approach prioritizes high-value rework and enables faster delivery and feedback</t>
  </si>
  <si>
    <t>1 - Scrum, and fixed length sprints may not be the answer. Maybe the focus should be on the ability to groom stories and develop a backlog (when feasible) and to limit work in progress, so that the team members aren't overwhelmed. In such a case, Kanban might be a better solution.
2. I suggest to link tasks, work and backlog around milestones/epics and trial different options. Every time someone needs to do a new task, they should log it and add the relevant data to it (experiment? second iteration of the results of another? new research? time that it took, project, etc). Be as specific as possible. Once you have enough data, you would be able to understand what your team is spending their time on, how much time on average on each type of task, and then you can think about the best planning strategy and also the pace of your team
3 - It seems like having a good description of the tasks will be very helpful.</t>
  </si>
  <si>
    <t>1. Maintain progress by switching to unblocked work</t>
  </si>
  <si>
    <t>1 - Now, to break this down, I want to ask two questions:
    What delivers the biggest value to the user in the shortest time (in traditional project management this was called weighted shortest job first, or WSJF)
    What are the riskiest unknowns in delivering this to the user?
2 - ow my first backlog item will focus on confirming my design. You may notice I didn't say User Story. Not everything in the backlog has to be a User Story. Here, my biggest concern is making sure I've got a design that will really land with the players, so that concept art is key. That's probably my first thing and I will almost certainly show it to real players and see the reactions. If it doesn't land, I haven't spent a lot of time modeling and integrating it.
3 - It is important to note that backlog items should be close-ended. The concept art could absolutely get more feedback that results in more work. Open-ended tasks assume that the work is worth it no matter how much it costs. I've never seen a task where this is true. Instead, we make it close-ended.
4. Agile promotes the usage of the Minimum Viable Product. In the case of the video game, you wouldn't be too concerned about having the best shaped car of all times from iteration one. The goal is to have a conceptual functional car that does basic operations. If the car is expected to be optimally delivered, it would become an Epic. You can decide the best approach by assessing how you can deliver value faster and better.
5 - From the other perspective, there may be cases where the car itself is expected (for any reason) to be optimally delivered (i.e. we're assuming that delivering a single car would add business value, which is something very unusual unless the game itself is already in production). Being that the case, the car in itself would be a story too big to fit into a single iteration... and per definition, would become an Epic.
6 - Try applying the same measures you use when developing the code, I think you'll get quite far.
7 - make sure you understand the needs of the story
8 - focus on the minimum viable
9 - iterate rapidly
10 - show new versions to key stakeholders as often as you can
11 - collect feedback early and often
12 - measure, collect data
13 - stop when it's good enough for now and something else is more important
14 - Whenever you (or your artist) are stuck, look to parallels in other fields and apply the same methods</t>
  </si>
  <si>
    <t>very hard to convey enough meaning...regardless of whether they know enough to estimate.</t>
  </si>
  <si>
    <t>2. Add team members when existing capacity cannot meet quality expectations.</t>
  </si>
  <si>
    <t>1 - The trick is to fill in those blanks as early as possible in the process of development.
2 - First, ask questions. Where the answers you get seem unsatisfactory, create a prototype. Show the customer what they're asking for, and let them tell you how it's not what they really want.
3 - Also, keep the stories as small as possible. Invariably, what the business wants is an epic, something that can be broken down into many deliverables.
4 - You can also try to get user feedback even more early, for example, after designing some parts of your software (like the UI), on a sheet of paper or a whiteboard and discuss that with a user or customer.
6 - Think about point 4: My opinion is that agile practices should be adapted to the needs and the culture of a company/team (not the other way around). Identify where the company sticks to the XP methodology and where it deviates. This is the groundwork for a constructive approach to your concerns.
7 - However you can start to discuss your concerns with your fellow developers.
8 - Now to point 3: I think that good user stories are collaboratively written by customers/end users/product owners and developers. Show some initiative: Look for some opportunity to directly ask the authors of the user stories
9 - Frankly, user stories should not have a whole lot of detail. "I want the software to do X, to meet Y business need" should be sufficient.
10 - That said, the developers also need to ask: "how do you expect this to work?", "what happens when that interacts with feature Z?". Developers don't make requirements, they make implementation.
11 - If you are asked to estimate a story that seems incomplete to you, make it known that you have questions about the story and that you can't give a proper estimation before those questions are answered.
Then, ask your questions and make sure the answers become part of the story.
12 - If you are forced to give an estimation even when your questions are not (all) answered, you can choose to either refuse to give an estimation or to clearly indicate that you are assuming the worst possible outcomes for the remaining blanks in your estimation (which probably will make your estimation a high outlier).
13 - Instead, they need to initially specify as much as possible, and if needed change later. Then you split your work into parts and implement in iterations. After each iteration, you have something finished.
14 - The best way to do this is to treat user stories for what they are, abstract user requirements, nothing more. You can then child tasks and sub tasks that describe the work that you have to do. 
15 - Treat user stories as high level features that must be broken down into tasks and sub tasks.
16 - Simply keep childing tasks to a user story that represent the real work that you need to do to complete the user story. The real work should be a sentence that accurately says what you are doing, for example, "code next and back buttons to get pagination working". Think small.</t>
  </si>
  <si>
    <t>I'm working on acceptance criteria for user story on interface adapting for multi-device Web based application.
I assumed that interface adapting should be very common issue for most of products, I have tried to google possible acceptance criteria, but had no much success.
Would you say that the above user story and the acceptance criteria are adequate?</t>
  </si>
  <si>
    <t>https://pm.stackexchange.com/questions</t>
  </si>
  <si>
    <t>https://softwareengineering.stackexchange.com/questions</t>
  </si>
  <si>
    <t>https://sqa.stackexchange.com/questions</t>
  </si>
  <si>
    <t>Yuri</t>
  </si>
  <si>
    <t>Nicole</t>
  </si>
  <si>
    <t>Sávio</t>
  </si>
  <si>
    <r>
      <rPr>
        <u/>
        <sz val="10"/>
        <color rgb="FF1155CC"/>
        <rFont val="Arial"/>
        <scheme val="minor"/>
      </rPr>
      <t>Is estimating a project without basic requirements or user stories a good idea for a fixed cost proposal?</t>
    </r>
  </si>
  <si>
    <r>
      <rPr>
        <u/>
        <sz val="10"/>
        <color rgb="FF1155CC"/>
        <rFont val="Arial"/>
        <scheme val="minor"/>
      </rPr>
      <t>Where should design be incorporated in an agile process?</t>
    </r>
  </si>
  <si>
    <r>
      <rPr>
        <u/>
        <sz val="10"/>
        <color rgb="FF1155CC"/>
        <rFont val="Arial"/>
        <scheme val="minor"/>
      </rPr>
      <t>Is FPA incompatible with Agile?</t>
    </r>
  </si>
  <si>
    <r>
      <rPr>
        <u/>
        <sz val="10"/>
        <color rgb="FF1155CC"/>
        <rFont val="Arial"/>
        <scheme val="minor"/>
      </rPr>
      <t>How do you handle non-functional work with Scrum in embedded eystems?</t>
    </r>
  </si>
  <si>
    <r>
      <rPr>
        <u/>
        <sz val="10"/>
        <color rgb="FF1155CC"/>
        <rFont val="Arial"/>
        <scheme val="minor"/>
      </rPr>
      <t>How to respond to a suggestion from management to stop writing manual test cases</t>
    </r>
  </si>
  <si>
    <r>
      <rPr>
        <u/>
        <sz val="10"/>
        <color rgb="FF1155CC"/>
        <rFont val="Arial"/>
        <scheme val="minor"/>
      </rPr>
      <t>Techniques to write good acceptance criteria for user stories</t>
    </r>
  </si>
  <si>
    <t>https://pm.stackexchange.com/questions/8679/how-does-a-team-new-to-product-and-domain-estimate-user-stories-of-a-ten-year</t>
  </si>
  <si>
    <t>Problema - Código</t>
  </si>
  <si>
    <t>-&gt;Problema código final</t>
  </si>
  <si>
    <t>-&gt;Tipo de Problema</t>
  </si>
  <si>
    <t>-&gt; Metodologia código final</t>
  </si>
  <si>
    <t>-&gt; Cerimônia Código Final</t>
  </si>
  <si>
    <t>-&gt; Papel Código Final</t>
  </si>
  <si>
    <t>-&gt; Efeito Código Final</t>
  </si>
  <si>
    <t>-&gt; Efeito: Categorias</t>
  </si>
  <si>
    <t>-&gt; Possíveis Soluções - Código Final</t>
  </si>
  <si>
    <t>Process/workflow issues around user stories</t>
  </si>
  <si>
    <t>User Story related Issues</t>
  </si>
  <si>
    <t>Not mentioned</t>
  </si>
  <si>
    <t>Quality assurance and validation issues</t>
  </si>
  <si>
    <t>Structural &amp; Quality Effects</t>
  </si>
  <si>
    <t>1. QA must be complete to call a user story done
2. 2. QA must be part of DoD to mark stories as done.
3. bring in QA within your sprint and not as a separate stage</t>
  </si>
  <si>
    <t>Delays/blockages due to tasks or dependencies</t>
  </si>
  <si>
    <t>Process &amp; Workflow Effects</t>
  </si>
  <si>
    <t>UX/UI integration challenges around user stories</t>
  </si>
  <si>
    <t>Workflow disruption and delivery blockage</t>
  </si>
  <si>
    <t>Difficulties in estimating user stories</t>
  </si>
  <si>
    <t>Estimation uncertainty and inaccuracy</t>
  </si>
  <si>
    <t>Planning &amp; Estimation Effects</t>
  </si>
  <si>
    <t>1. point value determined by environmental factors and team, not time or cost.
2. Leverage past stories as reference points for new estimates.                                                                                                                                                                                                                                                                                                                                                                                                                           3. Avoid cost-based estimation for stories                                                                                                                                                                                                                                                                                                                                                    4. Avoid using monetary units to estimate story complexity or time.                                                                                                                                                                                                                                                                                                              5. Dollars are suitable for estimating business value, not estimating effort.
6. using 5-Whys technique to define root cause for estimation scheme.
7. product owner and stakeholders calculating in dollars/money.</t>
  </si>
  <si>
    <t>User stories framed as solutions or technical tasks</t>
  </si>
  <si>
    <t>User Story Issues</t>
  </si>
  <si>
    <t>Organizational and backlog management issues</t>
  </si>
  <si>
    <t>Organizational &amp; Management Effects</t>
  </si>
  <si>
    <t>1. Use story points and velocity for team-level planning, not external forecasting                                                                                                                                                                                                                                                                                         2. Story points and velocity support sprint planning, not management deadlines.                                                                                                                                                                                                                                                                                        3. Commit to Agile principles over hybrid traditional approaches                                                                                                                                                                                                                                                                                                                   4. Avoid mixing Agile with traditional methods; embrace empiricism and adaptability.</t>
  </si>
  <si>
    <t>Poor decomposition and granularity of user stories</t>
  </si>
  <si>
    <t>Lack of independence and value delivery issues</t>
  </si>
  <si>
    <t>Product &amp; Value Effects</t>
  </si>
  <si>
    <t>Backlog refinament</t>
  </si>
  <si>
    <t>Team</t>
  </si>
  <si>
    <t>Loss of autonomy and professional degradation</t>
  </si>
  <si>
    <t>Human &amp; Social Effects</t>
  </si>
  <si>
    <t>User stories lacking user value orientation</t>
  </si>
  <si>
    <t>Lack of clarity and completeness in user stories</t>
  </si>
  <si>
    <t>Product owner</t>
  </si>
  <si>
    <t>Misalignment with goals and prioritization</t>
  </si>
  <si>
    <t>BDD</t>
  </si>
  <si>
    <t>Communication and collaboration issues</t>
  </si>
  <si>
    <t>Difficulty in decomposition and task structuring</t>
  </si>
  <si>
    <t>Lack of product/domain knowledge</t>
  </si>
  <si>
    <t>Sprint instability and planning issues</t>
  </si>
  <si>
    <t>1. don't convert story points into money
2. story points do not convert to time
3. estimate how long it would take to do that particular chunk of work
4. Use story points as relative estimates, not as time or cost equivalents.                                                                                                                                                                                                                                                                                                           5. Keep time and cost estimates separate from story point estimation.</t>
  </si>
  <si>
    <t xml:space="preserve">1. whole team and stakeholders agree on what estimating techniques measure
2. measure time directly
3. standup-to-standup timebox is a process control
4. story points are an intermediate value to estimate capacity
5. time estimations give a false feeling of safety
6. story is NOT the task
7. convert big story to an epic
8. think about sprint duration
9. respect the time box
10. mapping is dangerous
11. Story is too big, you may also convert it to an Epic and add Stories to them. </t>
  </si>
  <si>
    <t>1. biggest value to the user in the shortest time
2. not everything in the backlog has to be a User Story
3. backlog items should be close-ended
4. Prioritize early value delivery over complete or perfect solutions                                                                                                                                                                                                                                                                                                           
5. story too big to fit into a single iteration
6. apply the same measures you use when developing the code
7. understand the needs of the story
8. focus on the minimum viable
9. iterate rapidly
10. show new versions to key stakeholders as often as you can
11. collect feedback early and often
12. measure, collect data
13. stop when it's good enough for now
14. Use cross-domain analogies to overcome creative or technical blocks</t>
  </si>
  <si>
    <t>Poorly defined or missing acceptance criteria</t>
  </si>
  <si>
    <t>Release Planning</t>
  </si>
  <si>
    <t>Methodological inconsistency</t>
  </si>
  <si>
    <t>Rework and delivery issues caused by user story problems</t>
  </si>
  <si>
    <t>Rework and future pressure</t>
  </si>
  <si>
    <t>User story writing improvement need</t>
  </si>
  <si>
    <t>2. Treat negative acceptance tests as user stories.</t>
  </si>
  <si>
    <t>1. Manage estimation uncertainty by removing outliers, decomposing disputed tasks, and adapting backlog dynamically                                                                                                                                                                                                                                                        2. Break down high-point stories to identify uncertainties and add research spikes                                                                                                                                                                                                                                                                            3. Use planning poker to increase transparency, reduce uncertainty, and expose risks to stakeholders.
4. discussing outlier estimates until reasonable compromise is reached.
5. scheduling research story to build proof-of-concept before estimating.</t>
  </si>
  <si>
    <t>User Story Process Issues</t>
  </si>
  <si>
    <t>Reduced quality assurance and validation effectiveness</t>
  </si>
  <si>
    <t>Quality Effects</t>
  </si>
  <si>
    <t>Delays and work blockages</t>
  </si>
  <si>
    <t>Process Execution Effects</t>
  </si>
  <si>
    <t>Workflow disruptions and delivery blockages</t>
  </si>
  <si>
    <t>User Story Artifact Issues</t>
  </si>
  <si>
    <t>Inefficient backlog organization and management</t>
  </si>
  <si>
    <t>Organizational Effects</t>
  </si>
  <si>
    <t>Reduced delivery of independent and valuable increments</t>
  </si>
  <si>
    <t>Reduced autonomy and professional motivation</t>
  </si>
  <si>
    <t>Misalignment with product goals and priorities</t>
  </si>
  <si>
    <t>Breakdowns in team communication and collaboration</t>
  </si>
  <si>
    <t>Poor task decomposition and structuring</t>
  </si>
  <si>
    <t>Sprint instability and unreliable planning</t>
  </si>
  <si>
    <t>Inconsistent adherence to development practices</t>
  </si>
  <si>
    <t>Increased rework and time pressure</t>
  </si>
  <si>
    <t>COUNTUNIQUE de -&gt;Problema código final</t>
  </si>
  <si>
    <t>COUNTA de -&gt;Problema código final</t>
  </si>
  <si>
    <t>Lack of clarity and completeness in user stories Total</t>
  </si>
  <si>
    <t>Lack of product/domain knowledge Total</t>
  </si>
  <si>
    <t>Poor decomposition and granularity of user stories Total</t>
  </si>
  <si>
    <t>Poorly defined or missing acceptance criteria Total</t>
  </si>
  <si>
    <t>User stories framed as solutions or technical tasks Total</t>
  </si>
  <si>
    <t>User stories lacking user value orientation Total</t>
  </si>
  <si>
    <t>User story writing improvement need Total</t>
  </si>
  <si>
    <t>User Story Issues Total</t>
  </si>
  <si>
    <t>Difficulties in estimating user stories Total</t>
  </si>
  <si>
    <t>Process/workflow issues around user stories Total</t>
  </si>
  <si>
    <t>Rework and delivery issues caused by user story problems Total</t>
  </si>
  <si>
    <t>UX/UI integration challenges around user stories Total</t>
  </si>
  <si>
    <t>User Story related Issues Total</t>
  </si>
  <si>
    <t>Total geral</t>
  </si>
  <si>
    <t>Solução Código Final</t>
  </si>
  <si>
    <t>--&gt; Solução meta final</t>
  </si>
  <si>
    <t>-&gt; Categoria</t>
  </si>
  <si>
    <t>8. Full story completion in one sprint is not always required.</t>
  </si>
  <si>
    <t>Accepting multi-sprint story completion when necessary</t>
  </si>
  <si>
    <t>Understanding that Agile work may span beyond a single sprint</t>
  </si>
  <si>
    <t>Process Adaptation</t>
  </si>
  <si>
    <t>3. figuring out what works best for your team, product, and environment.</t>
  </si>
  <si>
    <t>Adapting Agile practices to context</t>
  </si>
  <si>
    <t>Adapting and applying Agile/Scrum practices appropriately</t>
  </si>
  <si>
    <t>5. agile practices should be adapted to the needs and the culture</t>
  </si>
  <si>
    <t>1. scrum enabling self-directed team with no universal right way to write stories.</t>
  </si>
  <si>
    <t>Adapting Agile practices to team context</t>
  </si>
  <si>
    <t>5. splitting story based on team size, team separation, or sprint differences.</t>
  </si>
  <si>
    <t>Adapting story splitting to team and sprint context</t>
  </si>
  <si>
    <t>Work Structuring</t>
  </si>
  <si>
    <t>2. tasks must work for the team doing the work.</t>
  </si>
  <si>
    <t>Adapting work structure to team needs</t>
  </si>
  <si>
    <t>Adapting workflow for different work types</t>
  </si>
  <si>
    <t>Adapting workflow to different work types</t>
  </si>
  <si>
    <t>Adjusting team capacity</t>
  </si>
  <si>
    <t>10. show new versions to key stakeholders as often as you can</t>
  </si>
  <si>
    <t>Adopting iterative development practices</t>
  </si>
  <si>
    <t>Continuous Learning</t>
  </si>
  <si>
    <t>1. point value determined by environmental factors and team, not time or cost.</t>
  </si>
  <si>
    <t>Adopting relative estimation instead of time/cost-based estimation</t>
  </si>
  <si>
    <t>Using relative estimation instead of time/cost-based estimation</t>
  </si>
  <si>
    <t>Effort Estimation &amp; Planning</t>
  </si>
  <si>
    <t>3. Avoid cost-based estimation for stories</t>
  </si>
  <si>
    <t xml:space="preserve"> 4. Avoid using monetary units to estimate story complexity or time.</t>
  </si>
  <si>
    <t>1. don't convert story points into money</t>
  </si>
  <si>
    <t>2. story points do not convert to time</t>
  </si>
  <si>
    <t>4. Use story points as relative estimates, not as time or cost equivalents. 5. Keep time and cost estimates separate from story point estimation.</t>
  </si>
  <si>
    <t>2. talking with PO and customers about architecture instead of just list of stories.</t>
  </si>
  <si>
    <t>Aligning architecture discussions with stakeholders</t>
  </si>
  <si>
    <t>Aligning technical and architectural decisions with actual needs</t>
  </si>
  <si>
    <t>Technical Foundations</t>
  </si>
  <si>
    <t>Aligning delivery with business-driven release</t>
  </si>
  <si>
    <t>Aligning delivery and release decisions with business value</t>
  </si>
  <si>
    <t>Value Orientation</t>
  </si>
  <si>
    <t xml:space="preserve">1. Use story points and velocity for team-level planning, not external forecasting </t>
  </si>
  <si>
    <t>Aligning estimation practices with Agile principles</t>
  </si>
  <si>
    <t>Improving estimation practices</t>
  </si>
  <si>
    <t>2. Story points and velocity support sprint planning, not management deadlines.</t>
  </si>
  <si>
    <t>3. Commit to Agile principles over hybrid traditional approaches</t>
  </si>
  <si>
    <t>4. Avoid mixing Agile with traditional methods; embrace empiricism and adaptability.</t>
  </si>
  <si>
    <t>10. Align requirement readiness with team collaboration before sprint planning.</t>
  </si>
  <si>
    <t>Aligning readiness through collaboration</t>
  </si>
  <si>
    <t>Collaboration &amp; Alignment</t>
  </si>
  <si>
    <t>4. Select solution complexity based on actual user needs, not assumptions</t>
  </si>
  <si>
    <t>Aligning solution complexity with actual user needs</t>
  </si>
  <si>
    <t>1. whole team and stakeholders agree on what estimating techniques measure</t>
  </si>
  <si>
    <t>Aligning stakeholders on estimation meaning and purpose</t>
  </si>
  <si>
    <t>Clarifying the purpose and interpretation of estimation</t>
  </si>
  <si>
    <t>5. user stories aligned with user needs with clear value statement.</t>
  </si>
  <si>
    <t>Aligning stories with user needs</t>
  </si>
  <si>
    <t>Ensuring user/business value in user stories</t>
  </si>
  <si>
    <t>8. think about sprint duration</t>
  </si>
  <si>
    <t>Aligning story size with sprint duration</t>
  </si>
  <si>
    <t>Aligning story size and granularity with sprint constraints</t>
  </si>
  <si>
    <t>6. goals of testing are more closely aligned to reducing technical debt</t>
  </si>
  <si>
    <t>Aligning testing with technical debt reduction</t>
  </si>
  <si>
    <t>Integrating and prioritizing testing in the workflow</t>
  </si>
  <si>
    <t>Quality Assurance</t>
  </si>
  <si>
    <t>8. budget in more time for testing</t>
  </si>
  <si>
    <t>Allocating sufficient time for testing</t>
  </si>
  <si>
    <t>7. Agile is to be flexible</t>
  </si>
  <si>
    <t>Applying Agile flexibility in UX/UI integration</t>
  </si>
  <si>
    <t>7- 7 - agile principles applied incrementally</t>
  </si>
  <si>
    <t>Applying Agile principles incrementally</t>
  </si>
  <si>
    <t>7. understand the needs of the story</t>
  </si>
  <si>
    <t>Applying consistent evaluation criteria</t>
  </si>
  <si>
    <t>13. stop when it's good enough for now</t>
  </si>
  <si>
    <t>Applying incremental delivery mindset</t>
  </si>
  <si>
    <t>Prioritizing incremental and early value delivery</t>
  </si>
  <si>
    <t>4. inspecting and adapting frequently if current way of working delivers value.</t>
  </si>
  <si>
    <t>Applying inspect-and-adapt</t>
  </si>
  <si>
    <t>Using retrospectives and inspect-and-adapt for continuous improvement</t>
  </si>
  <si>
    <t>10. Adopt a pragmatic approach.</t>
  </si>
  <si>
    <t>Applying pragmatic Agile practices</t>
  </si>
  <si>
    <t>2. not getting hung up on scrum dogma if current approach delivers better software.</t>
  </si>
  <si>
    <t xml:space="preserve">1. Quality Assurance filters out bad/unusable results. </t>
  </si>
  <si>
    <t>Applying quality assurance practices</t>
  </si>
  <si>
    <t>Applying QA and quality standards to user stories</t>
  </si>
  <si>
    <t>2. great user stories require Quality Assurance and definition of greatness.</t>
  </si>
  <si>
    <t>Applying quality standards to user stories</t>
  </si>
  <si>
    <t>3. assuring user stories meet quality standards before estimating.</t>
  </si>
  <si>
    <t>4. keep asking questions until fully understanding what customer wants.</t>
  </si>
  <si>
    <t>Asking clarifying questions until customer needs are understood</t>
  </si>
  <si>
    <t>Clarifying requirements through questioning and shared understanding</t>
  </si>
  <si>
    <t>Requirements Understanding</t>
  </si>
  <si>
    <t>2. retrospective to determine team bus factor.</t>
  </si>
  <si>
    <t>Assessing team resilience</t>
  </si>
  <si>
    <t>Improving team collaboration, ownership, and resilience</t>
  </si>
  <si>
    <t>6. one person owning story and responsible for ensuring all parts are working together.</t>
  </si>
  <si>
    <t>Assigning single ownership for integration</t>
  </si>
  <si>
    <t>4. estimating common tasks only once.</t>
  </si>
  <si>
    <t>Avoiding duplicate estimation of shared work</t>
  </si>
  <si>
    <t>1. acceptance criteria are a bit too specific on implementation details</t>
  </si>
  <si>
    <t>Avoiding implementation-specific acceptance criteria</t>
  </si>
  <si>
    <t>Defining clear, testable, and context-appropriate acceptance criteria</t>
  </si>
  <si>
    <t>8. misconception that a story should be fully designed, developed and tested in a single sprint</t>
  </si>
  <si>
    <t>Avoiding misconception of full story completion within one sprint</t>
  </si>
  <si>
    <t>11. misusing scrum by filling in mechanics for existing design work.</t>
  </si>
  <si>
    <t>Avoiding misuse of Scrum practices</t>
  </si>
  <si>
    <t xml:space="preserve">2. Use only the required functionality instead of full systems. </t>
  </si>
  <si>
    <t>Avoiding overbuilding by limiting scope</t>
  </si>
  <si>
    <t>Limiting scope and preventing overbuilding</t>
  </si>
  <si>
    <t>10. mapping is dangerous</t>
  </si>
  <si>
    <t>Avoiding overreliance on story mapping</t>
  </si>
  <si>
    <t>5. time estimations give a false feeling of safety</t>
  </si>
  <si>
    <t>Avoiding overreliance on time-based estimates</t>
  </si>
  <si>
    <t>9. losing flexibility by fixing scope for next sprint before it starts.</t>
  </si>
  <si>
    <t>Avoiding rigid scope commitments</t>
  </si>
  <si>
    <t>1. don't break down the item</t>
  </si>
  <si>
    <t>Avoiding unnecessary decomposition</t>
  </si>
  <si>
    <t>Decomposing work into appropriately sized pieces</t>
  </si>
  <si>
    <t>3. Avoid unnecessary databases by using simpler storage solutions when sufficient</t>
  </si>
  <si>
    <t>Avoiding unnecessary technical complexity</t>
  </si>
  <si>
    <t>3. Do not use a database when simpler alternatives suffice</t>
  </si>
  <si>
    <t>5. Avoid unnecessary complexity by implementing only required permissions.</t>
  </si>
  <si>
    <t>Avoiding UX-development pipelining</t>
  </si>
  <si>
    <t>Avoiding UX/UI bottlenecks, waste, and pipelining</t>
  </si>
  <si>
    <t>Design–Development Alignment</t>
  </si>
  <si>
    <t>3. designer doesn't become a bottleneck</t>
  </si>
  <si>
    <t>Avoiding UX/UI bottlenecks</t>
  </si>
  <si>
    <t>4. focusing on development effort rather than analysis, UI design, and testing.</t>
  </si>
  <si>
    <t>Balancing development with analysis, design, and testing</t>
  </si>
  <si>
    <t>2 - break down user stories into tasks</t>
  </si>
  <si>
    <t>Breaking down user stories into tasks</t>
  </si>
  <si>
    <t>Structuring user stories into clear tasks and subtasks</t>
  </si>
  <si>
    <t>4. breaking use-case into smaller end-to-end features for quicker feedback.</t>
  </si>
  <si>
    <t>Breaking use cases into smaller end-to-end features</t>
  </si>
  <si>
    <t>Using vertical/end-to-end slicing</t>
  </si>
  <si>
    <t>9. Break down work into independent, enabling increments.</t>
  </si>
  <si>
    <t>Breaking work into independent enabling increments</t>
  </si>
  <si>
    <t>1. value not measured only in lines of shippable code.</t>
  </si>
  <si>
    <t>Broadening definition of value</t>
  </si>
  <si>
    <t>Broadening the definition of value</t>
  </si>
  <si>
    <t>1 - user story is not the same as a requirement</t>
  </si>
  <si>
    <t>Clarifying distinction between user stories and requirements</t>
  </si>
  <si>
    <t>Clarifying user story concepts and abstraction levels</t>
  </si>
  <si>
    <t>1. Different purposes explain the poor correlation.</t>
  </si>
  <si>
    <t>Clarifying estimation purpose and interpretation</t>
  </si>
  <si>
    <t>1. fill in those blanks as early as possible</t>
  </si>
  <si>
    <t>Clarifying requirements early</t>
  </si>
  <si>
    <t>2. Clarify requirements through questioning and rapid prototyping</t>
  </si>
  <si>
    <t>Clarifying requirements through questioning and prototyping</t>
  </si>
  <si>
    <t>1. distinguishing between slicing by individual vs team responsibilities.</t>
  </si>
  <si>
    <t>Clarifying slicing strategy and team responsibilities</t>
  </si>
  <si>
    <t>9. Clarify vague stories by explicitly stating the user benefit.</t>
  </si>
  <si>
    <t>Clarifying user value in stories</t>
  </si>
  <si>
    <t>1. front-end and back-end as a single story.</t>
  </si>
  <si>
    <t>Combining front-end and back-end into end-to-end stories</t>
  </si>
  <si>
    <t>3. estimate how long it would take to do that particular chunk of work</t>
  </si>
  <si>
    <t>Considering task-level time estimation alongside story-level estimation</t>
  </si>
  <si>
    <t>Using time-based estimation when appropriate</t>
  </si>
  <si>
    <t>2. 2: Assigning tasks based on the developer's skill level.</t>
  </si>
  <si>
    <t>Considering team skills in task assignment and estimation</t>
  </si>
  <si>
    <t>Assigning tasks based on developer/team skills</t>
  </si>
  <si>
    <t>7. inspecting and adapting frequently while addressing dysfunctions.</t>
  </si>
  <si>
    <t>Continuous improvement practices</t>
  </si>
  <si>
    <t>7. convert big story to an epic</t>
  </si>
  <si>
    <t>Converting large stories into epics</t>
  </si>
  <si>
    <t>11. Story is too big, you may also convert it to an Epic and add Stories to them.</t>
  </si>
  <si>
    <t>2. stand alone story for the person who needs to look at the audit data</t>
  </si>
  <si>
    <t>Creating standalone value-driven stories</t>
  </si>
  <si>
    <t>Ensuring independent value and releasability of stories</t>
  </si>
  <si>
    <t>6. apply the same measures you use when developing the code</t>
  </si>
  <si>
    <t>Decomposing large stories into smaller units</t>
  </si>
  <si>
    <t>Decomposing large user stories into smaller stories</t>
  </si>
  <si>
    <t>3. split large work items into finer details</t>
  </si>
  <si>
    <t>Decomposing large work items into finer-grained items</t>
  </si>
  <si>
    <t>3. keep the stories as small as possible</t>
  </si>
  <si>
    <t>Decomposing user stories into smaller units</t>
  </si>
  <si>
    <t>6. splitting epics into smaller stories for better estimation.</t>
  </si>
  <si>
    <t>1. breaking large user story into smaller stories delivering minimum value quickly.</t>
  </si>
  <si>
    <t>2. breaking down stories with 8 or more points into smaller stories.</t>
  </si>
  <si>
    <t>14. break it down into smaller pieces</t>
  </si>
  <si>
    <t>Decomposing UX/UI work into smaller pieces</t>
  </si>
  <si>
    <t>Integrating UX/UI work with user stories and development</t>
  </si>
  <si>
    <t>12. split your work into parts and implement in iterations</t>
  </si>
  <si>
    <t>Decomposing work and iterating incrementally</t>
  </si>
  <si>
    <t>Decomposing work into smaller pieces</t>
  </si>
  <si>
    <t>2. break down the item into smaller pieces</t>
  </si>
  <si>
    <t>6. estimating time only after accepting story into sprint..</t>
  </si>
  <si>
    <t>Deferring estimation until readiness</t>
  </si>
  <si>
    <t>6. delay creating the database as long as possible</t>
  </si>
  <si>
    <t>Deferring technical decisions until necessary</t>
  </si>
  <si>
    <t>3. defining clear exit criteria for user stories.</t>
  </si>
  <si>
    <t>Defining clear acceptance criteria</t>
  </si>
  <si>
    <t>9. never calling story done until team agrees including testing.</t>
  </si>
  <si>
    <t>Defining completion through team agreement and testing</t>
  </si>
  <si>
    <t>Using Definition of Done to guide validation and completion</t>
  </si>
  <si>
    <t>2. capture general rules that apply no matter the device</t>
  </si>
  <si>
    <t>Defining device-independent acceptance criteria</t>
  </si>
  <si>
    <t>10. clear definition of DONE with decoupled presentation layer</t>
  </si>
  <si>
    <t>Defining DoD with decoupled presentation layer</t>
  </si>
  <si>
    <t>8. writing high-level project goals beforehand.</t>
  </si>
  <si>
    <t>Defining high-level goals upfront</t>
  </si>
  <si>
    <t>Defining high-level goals before deriving user stories</t>
  </si>
  <si>
    <t>10. defining what is "ready" for sprint planning</t>
  </si>
  <si>
    <t>Defining readiness criteria for UX/UI work</t>
  </si>
  <si>
    <t>3. application needs to be responsive</t>
  </si>
  <si>
    <t>Defining responsive behavior in acceptance criteria</t>
  </si>
  <si>
    <t xml:space="preserve">1. Avoid overbuilding by delivering only what is needed through vertical slices. </t>
  </si>
  <si>
    <t>Delivering only necessary functionality through vertical slices</t>
  </si>
  <si>
    <t>2. delivering small vertical slices of end-user value across architecture layers.</t>
  </si>
  <si>
    <t>Delivering vertical slices of value</t>
  </si>
  <si>
    <t>2. issue tracking and task tracking as distinct activities.</t>
  </si>
  <si>
    <t>Distinguishing issue tracking from task tracking</t>
  </si>
  <si>
    <t>Maintaining traceability between stories, tasks, and issues</t>
  </si>
  <si>
    <t>6. story is NOT the task</t>
  </si>
  <si>
    <t>Distinguishing user stories from tasks</t>
  </si>
  <si>
    <t>3. non functional requirement/DoD on any other stories</t>
  </si>
  <si>
    <t>Embedding non-functional requirements in DoD</t>
  </si>
  <si>
    <t>5. full-stack developers enabling story execution by one person without pipelining.</t>
  </si>
  <si>
    <t>Enabling vertical slicing through full-stack skills</t>
  </si>
  <si>
    <t>2. full-stack developers as most efficient way to work vertically with pair programming across layers.</t>
  </si>
  <si>
    <t>Enabling vertical slicing through full-stack skills and pair programming</t>
  </si>
  <si>
    <t>13. devs to ask questions about parts of the design</t>
  </si>
  <si>
    <t>Encouraging developer clarification of design</t>
  </si>
  <si>
    <t>9. developers also need to ask questions</t>
  </si>
  <si>
    <t>Encouraging developers to ask clarifying questions</t>
  </si>
  <si>
    <t>10. Developers must ask clarifying questions to understand requirements before implementation.</t>
  </si>
  <si>
    <t>2. all stories must be estimated.</t>
  </si>
  <si>
    <t>Enforcing consistent estimation practices</t>
  </si>
  <si>
    <t>3. scrum team must have all skills needed to create potentially releasable product.</t>
  </si>
  <si>
    <t>Ensuring cross-functional team skills</t>
  </si>
  <si>
    <t>1. each story should be valuable independently</t>
  </si>
  <si>
    <t>Ensuring independent value per story</t>
  </si>
  <si>
    <t>3. having a good description of the tasks</t>
  </si>
  <si>
    <t>Ensuring task clarity</t>
  </si>
  <si>
    <t>12. checking if user story leads to meaningful and testable requirements.</t>
  </si>
  <si>
    <t>Ensuring user stories are testable and meaningful</t>
  </si>
  <si>
    <t>11. Stop writing value-less goals.</t>
  </si>
  <si>
    <t>Ensuring user stories provide value</t>
  </si>
  <si>
    <t>10. UX stories providing value to development team rather than final user.</t>
  </si>
  <si>
    <t>Ensuring UX stories deliver end-user value</t>
  </si>
  <si>
    <t>2. no invisible work - all non-feature stories managed from Product Backlog.</t>
  </si>
  <si>
    <t>Ensuring visibility of all work items</t>
  </si>
  <si>
    <t>Making all work visible in the product backlog</t>
  </si>
  <si>
    <t>3. working through project manager to get in meetings with customer to discuss requirements.</t>
  </si>
  <si>
    <t>Facilitating customer access through project management</t>
  </si>
  <si>
    <t>Increasing stakeholder/customer involvement and feedback</t>
  </si>
  <si>
    <t>3. lean towards breaking it down</t>
  </si>
  <si>
    <t>Favoring decomposition</t>
  </si>
  <si>
    <t>3. estimates only need to be consistent over time, not necessarily accurate.</t>
  </si>
  <si>
    <t>Focusing on consistency over accuracy in estimation</t>
  </si>
  <si>
    <t>5. Prioritize customer-relevant details or avoid unnecessary technical specifics.</t>
  </si>
  <si>
    <t>Focusing on user-relevant details</t>
  </si>
  <si>
    <t>Keeping user stories focused on user-relevant needs and rationale</t>
  </si>
  <si>
    <t>7. Keep stories focused on business/user value, not development tasks.</t>
  </si>
  <si>
    <t>Focusing stories on business/user value</t>
  </si>
  <si>
    <t>4 - avoid shortcuts through the process</t>
  </si>
  <si>
    <t>Following disciplined Agile process</t>
  </si>
  <si>
    <t>6. tolerating pipelining initially while building trust through pair programming across layers.</t>
  </si>
  <si>
    <t>Gradually transitioning toward vertical slicing through trust-building practices</t>
  </si>
  <si>
    <t>3. backlog items should be close-ended</t>
  </si>
  <si>
    <t>Improving backlog structuring practices</t>
  </si>
  <si>
    <t>Structuring and refining the product backlog</t>
  </si>
  <si>
    <t>4. Prioritize early value delivery over complete or perfect solutions</t>
  </si>
  <si>
    <t>9. better communication and training for reasonable deadlines.</t>
  </si>
  <si>
    <t>Improving communication and training</t>
  </si>
  <si>
    <t>Promoting communication among team members and stakeholders</t>
  </si>
  <si>
    <t>10. sprint planning meetings on video for better communication.</t>
  </si>
  <si>
    <t>Improving communication in distributed teams</t>
  </si>
  <si>
    <t>1. Dev and testing overlap challenges story completion within a sprint.</t>
  </si>
  <si>
    <t>Improving coordination between development and testing</t>
  </si>
  <si>
    <t>1. increasing estimate accuracy with PO participation, training, documentation, and spikes.</t>
  </si>
  <si>
    <t>Improving domain knowledge through stakeholder involvement, training, and exploratory work</t>
  </si>
  <si>
    <t>1. improve your estimations to take that into account</t>
  </si>
  <si>
    <t>3. estimates as accurate as possible within sprint planning time-box.</t>
  </si>
  <si>
    <t>Improving estimation practices within Agile constraints</t>
  </si>
  <si>
    <t>1. demonstrating value of sharing user stories by simulating team member removal.</t>
  </si>
  <si>
    <t>Improving knowledge sharing</t>
  </si>
  <si>
    <t>8. focus on the minimum viable</t>
  </si>
  <si>
    <t>Improving requirement understanding</t>
  </si>
  <si>
    <t>15. practicing requirement engineering to improve over time.</t>
  </si>
  <si>
    <t>Improving requirements engineering practices</t>
  </si>
  <si>
    <t>7. Train PMs that vague stories lead to higher estimates and rework.</t>
  </si>
  <si>
    <t>Improving stakeholder awareness and training</t>
  </si>
  <si>
    <t>Training stakeholders about user story quality and impact</t>
  </si>
  <si>
    <t>8. good client services department knowing product and client.</t>
  </si>
  <si>
    <t>Improving stakeholder/domain knowledge</t>
  </si>
  <si>
    <t>Improving domain knowledge through training and expert involvement</t>
  </si>
  <si>
    <t>5 5 - improve understanding of differences between requirements and user stories</t>
  </si>
  <si>
    <t>Improving understanding of Agile concepts</t>
  </si>
  <si>
    <t>11. stories with clear list of testable acceptance criteria.</t>
  </si>
  <si>
    <t>Improving user story quality through clear and testable acceptance criteria</t>
  </si>
  <si>
    <t>4. bad user stories can be reworked to improve quality.</t>
  </si>
  <si>
    <t>Improving user story quality through refinement</t>
  </si>
  <si>
    <t>2. Well-specified stories enable developers to complete and validate work independently.</t>
  </si>
  <si>
    <t>Improving user story quality to support estimation</t>
  </si>
  <si>
    <t>3. design is part of definition of ready.</t>
  </si>
  <si>
    <t>Including design in Definition of Ready</t>
  </si>
  <si>
    <t>3. including QA-assigned tasks in the same story.</t>
  </si>
  <si>
    <t>Including QA tasks within the same story</t>
  </si>
  <si>
    <t>11. Consider the UX/UI designer as part of the SCRUM team</t>
  </si>
  <si>
    <t>Including UX/UI designers in Scrum team</t>
  </si>
  <si>
    <t>Defining UX/UI role within or outside the Scrum team</t>
  </si>
  <si>
    <t>4. estimates should include uncertainty.</t>
  </si>
  <si>
    <t>Incorporating uncertainty into estimation</t>
  </si>
  <si>
    <t>Managing estimation uncertainty through decomposition and exploratory work</t>
  </si>
  <si>
    <t>1. talking directly to customers and end users.</t>
  </si>
  <si>
    <t>Increasing direct customer and end-user communication</t>
  </si>
  <si>
    <t>4. get user feedback even more early</t>
  </si>
  <si>
    <t>Increasing early stakeholder feedback</t>
  </si>
  <si>
    <t>4. minimizing lag time between development and client feedback through communication and training.</t>
  </si>
  <si>
    <t>11. collect feedback early and often</t>
  </si>
  <si>
    <t>Increasing stakeholder feedback frequency</t>
  </si>
  <si>
    <t>3. work on getting your customer more involved</t>
  </si>
  <si>
    <t>Increasing stakeholder involvement</t>
  </si>
  <si>
    <t>8 8. do not eat the entire elephant in one bite</t>
  </si>
  <si>
    <t>Incremental delivery mindset</t>
  </si>
  <si>
    <t>9. Break down large features into incremental, deliverable pieces.</t>
  </si>
  <si>
    <t>Incremental feature decomposition</t>
  </si>
  <si>
    <t>1. design work done in sprint.</t>
  </si>
  <si>
    <t>Integrating design work within sprint</t>
  </si>
  <si>
    <t>Managing UX/UI work within or across sprints</t>
  </si>
  <si>
    <t>1. QA must be complete to call a user story done</t>
  </si>
  <si>
    <t>Integrating QA into Definition of Done</t>
  </si>
  <si>
    <t>2. 2. QA must be part of DoD to mark stories as done.</t>
  </si>
  <si>
    <t>3. bring in QA within your sprint and not as a separate stage</t>
  </si>
  <si>
    <t>Integrating QA within sprint workflow</t>
  </si>
  <si>
    <t>5. UX/BA tasks are part of the sprint</t>
  </si>
  <si>
    <t>Integrating UX/BA tasks within sprint</t>
  </si>
  <si>
    <t>2. getting involved earlier in the process after sales and with BAs.</t>
  </si>
  <si>
    <t>Involving developers earlier in the requirements process</t>
  </si>
  <si>
    <t>9. SME participating in sprint planning to validate implementation approach.</t>
  </si>
  <si>
    <t>Involving domain experts (SMEs) in planning and decision-making</t>
  </si>
  <si>
    <t>1. keeping dependent stories separate and delivering potentially shippable product.</t>
  </si>
  <si>
    <t>Keeping stories independent for delivery</t>
  </si>
  <si>
    <t>6 6 - learning from sprints and retrospectives</t>
  </si>
  <si>
    <t>Learning through iterative cycles</t>
  </si>
  <si>
    <t>Leveraging cross-functional collaboration</t>
  </si>
  <si>
    <t>13. Unplanned backlog more than 12 to 18 months in advance.</t>
  </si>
  <si>
    <t>Limiting long-term backlog planning</t>
  </si>
  <si>
    <t>7. keep it limited in scope</t>
  </si>
  <si>
    <t>Limiting user story scope</t>
  </si>
  <si>
    <t>8. user stories should not have a whole lot of detail</t>
  </si>
  <si>
    <t>Maintaining appropriate level of abstraction in user stories</t>
  </si>
  <si>
    <t>Maintaining appropriate abstraction levels</t>
  </si>
  <si>
    <t>3 - user stories focused on what and why, not how</t>
  </si>
  <si>
    <t>Maintaining focus on what and why in user stories</t>
  </si>
  <si>
    <t>6. keeping things easy to change for lightweight pre-sprint analysis.</t>
  </si>
  <si>
    <t>Maintaining lightweight and adaptable analysis</t>
  </si>
  <si>
    <t>4. keeping stories separate.</t>
  </si>
  <si>
    <t>Maintaining story independence</t>
  </si>
  <si>
    <t>1. maintaining relationship between task and parent user story to convey value to customer.</t>
  </si>
  <si>
    <t>Maintaining traceability between tasks and parent user stories</t>
  </si>
  <si>
    <t>13. treat user stories as abstract user requirements</t>
  </si>
  <si>
    <t>Maintaining user stories as high-level requirements</t>
  </si>
  <si>
    <t>1. all work including bugs, training, and research managed from Product Backlog to avoid hidden costs.</t>
  </si>
  <si>
    <t>Managing all work through product backlog</t>
  </si>
  <si>
    <t>3. adding dependency points to first story and noting order of dependent stories.</t>
  </si>
  <si>
    <t>Managing dependencies explicitly</t>
  </si>
  <si>
    <t>10. Manage dependencies by linking backlog items to improve planning and scheduling</t>
  </si>
  <si>
    <t>Managing dependencies through backlog linking</t>
  </si>
  <si>
    <t>5. testable user stories with agreed success criteria.</t>
  </si>
  <si>
    <t>Managing estimation uncertainty through decomposition and adaptation</t>
  </si>
  <si>
    <t xml:space="preserve">1. Manage estimation uncertainty by removing outliers, decomposing disputed tasks, and adapting backlog dynamically </t>
  </si>
  <si>
    <t>2. Break down high-point stories to identify uncertainties and add research spikes</t>
  </si>
  <si>
    <t>5. scheduling research story to build proof-of-concept before estimating.</t>
  </si>
  <si>
    <t>Managing estimation uncertainty through exploratory work</t>
  </si>
  <si>
    <t>8. developing in isolation while logging technical debt and paying it back in hardening sprint.</t>
  </si>
  <si>
    <t>Managing technical debt during isolated development</t>
  </si>
  <si>
    <t>Managing technical debt explicitly</t>
  </si>
  <si>
    <t>12. Consider the UX/UI designer as external to the SCRUM team</t>
  </si>
  <si>
    <t>Managing UX/UI roles external to Scrum team when needed</t>
  </si>
  <si>
    <t>1. doing UI design, coding, and testing in same sprint or splitting across sprints.</t>
  </si>
  <si>
    <t>Managing UX/UI work across or within sprints</t>
  </si>
  <si>
    <t>1. Focus on backlog refinement and limiting WIP to avoid team overload</t>
  </si>
  <si>
    <t>Managing WIP and backlog refinement</t>
  </si>
  <si>
    <t>Managing flow and limiting WIP</t>
  </si>
  <si>
    <t>Managing workflow around blockers</t>
  </si>
  <si>
    <t>4. try to avoid waste</t>
  </si>
  <si>
    <t>Minimizing waste in UX/UI processes</t>
  </si>
  <si>
    <t>7. continuous release planning and periodic backlog reviews.</t>
  </si>
  <si>
    <t>Performing continuous backlog refinement</t>
  </si>
  <si>
    <t>Planning at appropriate granularity level</t>
  </si>
  <si>
    <t>6. job of UX is to prepare those tasks for developers</t>
  </si>
  <si>
    <t>Preparing UX deliverables for development</t>
  </si>
  <si>
    <t>5. Do not introduce features beyond the scope of the user story</t>
  </si>
  <si>
    <t>Preventing scope creep in user stories</t>
  </si>
  <si>
    <t>9. make testing the focus</t>
  </si>
  <si>
    <t>Prioritizing testing activities</t>
  </si>
  <si>
    <t>2. not everything in the backlog has to be a User Story</t>
  </si>
  <si>
    <t>Prioritizing value-driven delivery</t>
  </si>
  <si>
    <t>5. story too big to fit into a single iteration</t>
  </si>
  <si>
    <t>9. iterate rapidly</t>
  </si>
  <si>
    <t>7. good user stories are collaboratively written</t>
  </si>
  <si>
    <t>Promoting collaborative user story writing</t>
  </si>
  <si>
    <t>Promoting collaborative user story writing and communication</t>
  </si>
  <si>
    <t>5. direct and honest communication between development team and stakeholders.</t>
  </si>
  <si>
    <t>Promoting direct and honest stakeholder communication</t>
  </si>
  <si>
    <t>7. testing is not a necessary evil</t>
  </si>
  <si>
    <t>Promoting positive testing mindset</t>
  </si>
  <si>
    <t>6. discuss your concerns with your fellow developers</t>
  </si>
  <si>
    <t>Promoting team communication and collaboration</t>
  </si>
  <si>
    <t>7. SME traveling to train entire team hands-on.</t>
  </si>
  <si>
    <t>Providing hands-on training with domain experts (SMEs)</t>
  </si>
  <si>
    <t>8. key team members traveling for hands-on training with SMEs.</t>
  </si>
  <si>
    <t>8. taking a step back and reassessing.</t>
  </si>
  <si>
    <t>Reassessing process and priorities</t>
  </si>
  <si>
    <t>8. reassigning story ownership as each person finishes their part.</t>
  </si>
  <si>
    <t>Reassigning ownership across workflow stages</t>
  </si>
  <si>
    <t>5. testing as an expected and necessary cost of doing business</t>
  </si>
  <si>
    <t>Recognizing testing as essential</t>
  </si>
  <si>
    <t>7. avoiding lengthy design discussions before implementing each story.</t>
  </si>
  <si>
    <t>Reducing upfront design overhead</t>
  </si>
  <si>
    <t>3. independent stories can be released separately based on business value.</t>
  </si>
  <si>
    <t>Releasing stories independently based on value</t>
  </si>
  <si>
    <t>4. understanding context before seeking clarification from business analyst.</t>
  </si>
  <si>
    <t>Representing negative scenarios as user stories or acceptance tests</t>
  </si>
  <si>
    <t>11. Do not estimate stories until critical ambiguities are resolved</t>
  </si>
  <si>
    <t>Resolving ambiguities before estimation</t>
  </si>
  <si>
    <t>11. Raise questions when requirements are incomplete before providing estimates.</t>
  </si>
  <si>
    <t>9. respect the time box</t>
  </si>
  <si>
    <t>Respecting timeboxes</t>
  </si>
  <si>
    <t>Using and respecting timeboxes</t>
  </si>
  <si>
    <t>3. hiring more people gives you a chance to improve your processes</t>
  </si>
  <si>
    <t>Scaling team capacity</t>
  </si>
  <si>
    <t>4. get your team to production size</t>
  </si>
  <si>
    <t>2. design as separate stories.</t>
  </si>
  <si>
    <t>Separating design work into distinct stories</t>
  </si>
  <si>
    <t>5. Dollars are suitable for estimating business value, not estimating effort.</t>
  </si>
  <si>
    <t>Separating effort estimation from business value and cost estimation</t>
  </si>
  <si>
    <t>7. product owner and stakeholders calculating in dollars/money.</t>
  </si>
  <si>
    <t>5. Keep time and cost estimates separate from story point estimation.</t>
  </si>
  <si>
    <t>1. biggest value to the user in the shortest time</t>
  </si>
  <si>
    <t>1. split that epic into stories and work on those stories</t>
  </si>
  <si>
    <t>Splitting epics into smaller user stories</t>
  </si>
  <si>
    <t>2. find out how many story points an epic has is by splitting it into stories</t>
  </si>
  <si>
    <t>9. breaking UI/graphics into two stories: functionality first, design later.</t>
  </si>
  <si>
    <t>Splitting functionality and design into separate stories</t>
  </si>
  <si>
    <t>2. dividing story into tasks owned by different developers.</t>
  </si>
  <si>
    <t>Splitting stories into developer-owned tasks</t>
  </si>
  <si>
    <t>7. dividing user stories into tasks among team members.</t>
  </si>
  <si>
    <t>Splitting stories into team-member tasks</t>
  </si>
  <si>
    <t>6. splitting stories into small vertical slices.</t>
  </si>
  <si>
    <t>Splitting stories into vertical slices</t>
  </si>
  <si>
    <t>8. start with simple architectures</t>
  </si>
  <si>
    <t>Starting with simple architectures</t>
  </si>
  <si>
    <t>10. arranging stories hierarchically by functional areas.</t>
  </si>
  <si>
    <t>Structuring backlog hierarchically</t>
  </si>
  <si>
    <t>4. group stories beneath an Epic</t>
  </si>
  <si>
    <t>1. splitting tasks into common once, common repeated, and specific for estimation.</t>
  </si>
  <si>
    <t>Structuring tasks for estimation clarity</t>
  </si>
  <si>
    <t>14. .splitting development group into separate agile teams by functional areas.</t>
  </si>
  <si>
    <t>Structuring teams by functional areas</t>
  </si>
  <si>
    <t>14. broken down into tasks and sub tasks</t>
  </si>
  <si>
    <t>Structuring work into tasks and subtasks</t>
  </si>
  <si>
    <t>15. childing tasks represent the real work</t>
  </si>
  <si>
    <t xml:space="preserve"> 16. Break user stories into small tasks that reflect the actual implementation work</t>
  </si>
  <si>
    <t>16. Create granular child tasks that clearly describe the work required.</t>
  </si>
  <si>
    <t>4. collective code ownership and pair programming to support vertical user stories.</t>
  </si>
  <si>
    <t>Supporting vertical stories through collective ownership and pair programming</t>
  </si>
  <si>
    <t>3. reformulating additional work items as user stories for Product Backlog insertion.</t>
  </si>
  <si>
    <t>Transforming work into backlog items</t>
  </si>
  <si>
    <t>1. Agile is not restricted to sprint-only planning or execution</t>
  </si>
  <si>
    <t>Understanding Agile beyond sprint boundaries</t>
  </si>
  <si>
    <t>1. misunderstanding that the current iteration is the only place things happen</t>
  </si>
  <si>
    <t>Understanding Agile work spans beyond a single iteration</t>
  </si>
  <si>
    <t>1. use job stories instead</t>
  </si>
  <si>
    <t>Using alternative story formats</t>
  </si>
  <si>
    <t>5. Define larger chunks (i.e. epic stories) story blocks instead of low-level stories from the start.</t>
  </si>
  <si>
    <t>Using appropriate abstraction levels in backlog</t>
  </si>
  <si>
    <t>3. Use planning poker to increase transparency, reduce uncertainty, and expose risks to stakeholders.</t>
  </si>
  <si>
    <t>Using collaborative estimation techniques</t>
  </si>
  <si>
    <t>4. discussing outlier estimates until reasonable compromise is reached.</t>
  </si>
  <si>
    <t>3. secondary structures helping mitigate drawbacks of vertical or horizontal slicing.</t>
  </si>
  <si>
    <t>Using complementary structures to mitigate slicing drawbacks</t>
  </si>
  <si>
    <t>14. Use cross-domain analogies to overcome creative or technical blocks</t>
  </si>
  <si>
    <t>Using creative problem-solving techniques</t>
  </si>
  <si>
    <t xml:space="preserve">2. Track and categorize work to generate data for better planning and forecasting </t>
  </si>
  <si>
    <t>Using data-driven planning</t>
  </si>
  <si>
    <t>Using data and tracking for planning and process improvement</t>
  </si>
  <si>
    <t>6. choosing a pet feature to demonstrate success and gain leverage for future discussions.</t>
  </si>
  <si>
    <t>Using demonstrator features to support stakeholder negotiation</t>
  </si>
  <si>
    <t>Using supporting artifacts to clarify and derive user stories</t>
  </si>
  <si>
    <t>2. Use detailed task logging to understand effort distribution and improve team pacing.</t>
  </si>
  <si>
    <t>Using detailed tracking for process improvement</t>
  </si>
  <si>
    <t>2. measure time directly</t>
  </si>
  <si>
    <t>Using direct time measurement when appropriate</t>
  </si>
  <si>
    <t>12. measure, collect data</t>
  </si>
  <si>
    <t>Using empirical data to guide decisions</t>
  </si>
  <si>
    <t>10. help of an experienced Technical Project Manager to help explain how to shrink the stories</t>
  </si>
  <si>
    <t>Using experienced leadership for guidance</t>
  </si>
  <si>
    <t>Using experienced leadership to guide process and decomposition</t>
  </si>
  <si>
    <t>5. using spikes to reduce uncertainty.</t>
  </si>
  <si>
    <t>Using exploratory work (spikes) to reduce uncertainty</t>
  </si>
  <si>
    <t xml:space="preserve">1. Prefer flow-based approaches (e.g., Kanban) over fixed sprints when appropriate. </t>
  </si>
  <si>
    <t>Using flow-based approaches when suitable</t>
  </si>
  <si>
    <t xml:space="preserve">2. Leverage past stories as reference points for new estimates. </t>
  </si>
  <si>
    <t>Using historical reference stories for estimation</t>
  </si>
  <si>
    <t>3. creating GitHub milestones for features/user stories with associated issues for tasks.</t>
  </si>
  <si>
    <t>Using milestones and issues to structure features and tasks</t>
  </si>
  <si>
    <t>1. writing user stories for reliability, security, and capacity.</t>
  </si>
  <si>
    <t>Using modeling techniques to analyze dependencies</t>
  </si>
  <si>
    <t>9. pair programming to build confidence across team members.</t>
  </si>
  <si>
    <t>Using pair programming to build cross-functional confidence</t>
  </si>
  <si>
    <t>Supporting vertical work through full-stack skills, pair programming, and collective ownership</t>
  </si>
  <si>
    <t>7. using patterns to slice large user stories into smaller vertical slices.</t>
  </si>
  <si>
    <t>Using patterns for vertical slicing</t>
  </si>
  <si>
    <t>2. using activity diagrams and PERT diagrams to analyze feature dependencies.</t>
  </si>
  <si>
    <t>Using project narratives or charters to derive user stories</t>
  </si>
  <si>
    <t>4. relative sizing of items</t>
  </si>
  <si>
    <t>Using relative sizing for estimation</t>
  </si>
  <si>
    <t>5. put them in buckets of relative size</t>
  </si>
  <si>
    <t>4. Use short cycles of practice and retrospectives to learn and refine the process.</t>
  </si>
  <si>
    <t>Using retrospectives for continuous improvement</t>
  </si>
  <si>
    <t>6. using 5-Whys technique to define root cause for estimation scheme.</t>
  </si>
  <si>
    <t>Using root cause analysis to improve estimation practices</t>
  </si>
  <si>
    <t>2. design/UI stories in one sprint and coding in the next.</t>
  </si>
  <si>
    <t>Using split-sprint UX/UI and development approach</t>
  </si>
  <si>
    <t>5. analysts and designers working a sprint ahead of developers.</t>
  </si>
  <si>
    <t>Using staggered design-development workflow</t>
  </si>
  <si>
    <t>2. designer should work ahead of the developers</t>
  </si>
  <si>
    <t>Using staggered UX/UI and development workflow</t>
  </si>
  <si>
    <t>8. have clear coding and design standards, with weekly backlog grooming.</t>
  </si>
  <si>
    <t>Using standards and backlog grooming</t>
  </si>
  <si>
    <t>3. narrative/project charter as starting place for identifying user stories.</t>
  </si>
  <si>
    <t>Using steel threads to clarify user story requirements</t>
  </si>
  <si>
    <t>1. steel thread concept for specific user story requirements.</t>
  </si>
  <si>
    <t>4. story points are an intermediate value to estimate capacity</t>
  </si>
  <si>
    <t>Using story points for capacity estimation</t>
  </si>
  <si>
    <t>Using story points and velocity for team planning</t>
  </si>
  <si>
    <t>2. shouldn't expect to understand everything from the summary</t>
  </si>
  <si>
    <t>Using summaries as guidance rather than full specification</t>
  </si>
  <si>
    <t>3. see summaries as pointers</t>
  </si>
  <si>
    <t>3. standup-to-standup timebox is a process control</t>
  </si>
  <si>
    <t>Using timeboxes as process control mechanisms</t>
  </si>
  <si>
    <t>6. creating training stories.</t>
  </si>
  <si>
    <t>Using training activities to improve domain knowledge</t>
  </si>
  <si>
    <t>9. mock-up or visual of some sort is essential</t>
  </si>
  <si>
    <t>Using visual artifacts to support development</t>
  </si>
  <si>
    <t>COUNTUNIQUE de --&gt; Solução meta final</t>
  </si>
  <si>
    <t>COUNTA de --&gt; Solução meta final</t>
  </si>
  <si>
    <t>Process Adaptation Total</t>
  </si>
  <si>
    <t>Work Structuring Total</t>
  </si>
  <si>
    <t>Effort Estimation &amp; Planning Total</t>
  </si>
  <si>
    <t>Requirements Understanding Total</t>
  </si>
  <si>
    <t>Quality Assurance Total</t>
  </si>
  <si>
    <t>Collaboration &amp; Alignment Total</t>
  </si>
  <si>
    <t>Value Orientation Total</t>
  </si>
  <si>
    <t>Design–Development Alignment Total</t>
  </si>
  <si>
    <t>Continuous Learning Total</t>
  </si>
  <si>
    <t>Technical Foundations Total</t>
  </si>
  <si>
    <t>COUNTA of -&gt;Problema código final</t>
  </si>
  <si>
    <t/>
  </si>
  <si>
    <t>COUNTA of -&gt; Efeito Código Final</t>
  </si>
  <si>
    <t>Total Geral</t>
  </si>
  <si>
    <t>COUNTA of -&gt; Metodologia código final</t>
  </si>
  <si>
    <t>COUNTA of -&gt; Cerimônia Código Final</t>
  </si>
  <si>
    <t>COUNTA of -&gt; Papel Código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</si>
</sst>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sz val="11"/>
      <color rgb="FF000000"/>
      <name val="Arial"/>
    </font>
    <font>
      <b/>
      <sz val="10"/>
      <color theme="1"/>
      <name val="Arial"/>
      <scheme val="minor"/>
    </font>
    <font>
      <sz val="10"/>
      <color rgb="FF000000"/>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sz val="10"/>
      <color theme="1"/>
      <name val="Inherit"/>
    </font>
    <font>
      <sz val="11"/>
      <color theme="1"/>
      <name val="Arial"/>
      <scheme val="minor"/>
    </font>
    <font>
      <u/>
      <sz val="10"/>
      <color rgb="FF0000FF"/>
      <name val="Arial"/>
    </font>
    <font>
      <u/>
      <sz val="10"/>
      <color rgb="FF0000FF"/>
      <name val="Arial"/>
    </font>
    <font>
      <u/>
      <sz val="10"/>
      <color rgb="FF0C0D0E"/>
      <name val="-apple-system"/>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1"/>
      <color rgb="FF000000"/>
      <name val="Calibri"/>
    </font>
    <font>
      <sz val="11"/>
      <color rgb="FF000000"/>
      <name val="Calibri"/>
    </font>
    <font>
      <sz val="11"/>
      <color rgb="FF000000"/>
      <name val="&quot;Aptos Narrow&quot;"/>
    </font>
    <font>
      <u/>
      <sz val="10"/>
      <color rgb="FF1155CC"/>
      <name val="Arial"/>
      <scheme val="minor"/>
    </font>
  </fonts>
  <fills count="9">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DFDFD"/>
        <bgColor rgb="FFFDFDFD"/>
      </patternFill>
    </fill>
    <fill>
      <patternFill patternType="solid">
        <fgColor rgb="FFEAD1DC"/>
        <bgColor rgb="FFEAD1DC"/>
      </patternFill>
    </fill>
    <fill>
      <patternFill patternType="solid">
        <fgColor rgb="FFB6D7A8"/>
        <bgColor rgb="FFB6D7A8"/>
      </patternFill>
    </fill>
    <fill>
      <patternFill patternType="solid">
        <fgColor rgb="FFF9CB9C"/>
        <bgColor rgb="FFF9CB9C"/>
      </patternFill>
    </fill>
    <fill>
      <patternFill patternType="solid">
        <fgColor rgb="FFD5A6BD"/>
        <bgColor rgb="FFD5A6BD"/>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right style="thin">
        <color rgb="FFABABAB"/>
      </right>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71">
    <xf numFmtId="0" fontId="0" fillId="0" borderId="0" xfId="0"/>
    <xf numFmtId="0" fontId="1" fillId="0" borderId="0" xfId="0" applyFont="1"/>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xf numFmtId="0" fontId="4" fillId="0" borderId="0" xfId="0" applyFont="1"/>
    <xf numFmtId="0" fontId="5" fillId="0" borderId="0" xfId="0" applyFont="1"/>
    <xf numFmtId="0" fontId="3" fillId="2" borderId="0" xfId="0" applyFont="1" applyFill="1" applyAlignment="1">
      <alignment horizontal="left"/>
    </xf>
    <xf numFmtId="0" fontId="6" fillId="0" borderId="0" xfId="0" applyFont="1"/>
    <xf numFmtId="0" fontId="3" fillId="3" borderId="0" xfId="0" applyFont="1" applyFill="1"/>
    <xf numFmtId="0" fontId="7" fillId="2" borderId="0" xfId="0" applyFont="1" applyFill="1" applyAlignment="1">
      <alignment horizontal="left"/>
    </xf>
    <xf numFmtId="0" fontId="8" fillId="4" borderId="0" xfId="0" applyFont="1" applyFill="1" applyAlignment="1">
      <alignment horizontal="left"/>
    </xf>
    <xf numFmtId="0" fontId="9" fillId="2" borderId="0" xfId="0" applyFont="1" applyFill="1" applyAlignment="1">
      <alignment horizontal="left"/>
    </xf>
    <xf numFmtId="0" fontId="3" fillId="4" borderId="0" xfId="0" applyFont="1" applyFill="1" applyAlignment="1">
      <alignment horizontal="left"/>
    </xf>
    <xf numFmtId="0" fontId="3" fillId="3" borderId="0" xfId="0" applyFont="1" applyFill="1" applyAlignment="1">
      <alignment horizontal="right"/>
    </xf>
    <xf numFmtId="0" fontId="3" fillId="0" borderId="0" xfId="0" applyFont="1" applyAlignment="1">
      <alignment horizontal="left"/>
    </xf>
    <xf numFmtId="0" fontId="10" fillId="0" borderId="0" xfId="0" applyFont="1"/>
    <xf numFmtId="0" fontId="2" fillId="0" borderId="0" xfId="0" applyFont="1"/>
    <xf numFmtId="0" fontId="3" fillId="6" borderId="0" xfId="0" applyFont="1" applyFill="1" applyAlignment="1">
      <alignment horizontal="right"/>
    </xf>
    <xf numFmtId="0" fontId="4" fillId="6" borderId="0" xfId="0" applyFont="1" applyFill="1"/>
    <xf numFmtId="0" fontId="11" fillId="6" borderId="0" xfId="0" applyFont="1" applyFill="1"/>
    <xf numFmtId="0" fontId="12" fillId="6" borderId="0" xfId="0" applyFont="1" applyFill="1" applyAlignment="1">
      <alignment horizontal="left"/>
    </xf>
    <xf numFmtId="0" fontId="13" fillId="6" borderId="0" xfId="0" applyFont="1" applyFill="1" applyAlignment="1">
      <alignment horizontal="left"/>
    </xf>
    <xf numFmtId="0" fontId="10" fillId="6" borderId="0" xfId="0" applyFont="1" applyFill="1"/>
    <xf numFmtId="0" fontId="3" fillId="5" borderId="0" xfId="0" applyFont="1" applyFill="1"/>
    <xf numFmtId="0" fontId="4" fillId="5" borderId="0" xfId="0" applyFont="1" applyFill="1"/>
    <xf numFmtId="0" fontId="14" fillId="5" borderId="0" xfId="0" applyFont="1" applyFill="1"/>
    <xf numFmtId="0" fontId="15" fillId="5" borderId="0" xfId="0" applyFont="1" applyFill="1" applyAlignment="1">
      <alignment horizontal="left"/>
    </xf>
    <xf numFmtId="0" fontId="16" fillId="5" borderId="0" xfId="0" applyFont="1" applyFill="1"/>
    <xf numFmtId="0" fontId="3" fillId="5" borderId="0" xfId="0" applyFont="1" applyFill="1" applyAlignment="1">
      <alignment horizontal="left"/>
    </xf>
    <xf numFmtId="0" fontId="3" fillId="7" borderId="0" xfId="0" applyFont="1" applyFill="1"/>
    <xf numFmtId="0" fontId="4" fillId="7" borderId="0" xfId="0" applyFont="1" applyFill="1"/>
    <xf numFmtId="0" fontId="17" fillId="7" borderId="0" xfId="0" applyFont="1" applyFill="1"/>
    <xf numFmtId="0" fontId="3" fillId="7" borderId="0" xfId="0" applyFont="1" applyFill="1" applyAlignment="1">
      <alignment horizontal="left"/>
    </xf>
    <xf numFmtId="0" fontId="18" fillId="7" borderId="0" xfId="0" applyFont="1" applyFill="1"/>
    <xf numFmtId="0" fontId="3" fillId="8" borderId="0" xfId="0" applyFont="1" applyFill="1"/>
    <xf numFmtId="0" fontId="4" fillId="8" borderId="0" xfId="0" applyFont="1" applyFill="1"/>
    <xf numFmtId="0" fontId="19" fillId="8" borderId="0" xfId="0" applyFont="1" applyFill="1"/>
    <xf numFmtId="0" fontId="3" fillId="8" borderId="0" xfId="0" applyFont="1" applyFill="1" applyAlignment="1">
      <alignment horizontal="left"/>
    </xf>
    <xf numFmtId="0" fontId="20" fillId="8" borderId="0" xfId="0" applyFont="1" applyFill="1"/>
    <xf numFmtId="0" fontId="21" fillId="2" borderId="0" xfId="0" applyFont="1" applyFill="1"/>
    <xf numFmtId="0" fontId="22" fillId="2" borderId="0" xfId="0" applyFont="1" applyFill="1"/>
    <xf numFmtId="0" fontId="4" fillId="3" borderId="0" xfId="0" applyFont="1" applyFill="1"/>
    <xf numFmtId="10" fontId="4" fillId="0" borderId="0" xfId="0" applyNumberFormat="1" applyFont="1"/>
    <xf numFmtId="0" fontId="23" fillId="0" borderId="1" xfId="0" applyFont="1" applyBorder="1" applyAlignment="1">
      <alignment horizontal="center" vertical="top"/>
    </xf>
    <xf numFmtId="0" fontId="24" fillId="0" borderId="0" xfId="0" applyFont="1" applyAlignment="1">
      <alignment horizontal="right"/>
    </xf>
    <xf numFmtId="0" fontId="24" fillId="0" borderId="0" xfId="0" applyFont="1"/>
    <xf numFmtId="0" fontId="24" fillId="0" borderId="0" xfId="0" applyFont="1" applyAlignment="1">
      <alignment vertical="top"/>
    </xf>
    <xf numFmtId="0" fontId="25" fillId="0" borderId="0" xfId="0" applyFont="1"/>
    <xf numFmtId="0" fontId="25" fillId="0" borderId="0" xfId="0" applyFont="1" applyAlignment="1">
      <alignment vertical="top"/>
    </xf>
    <xf numFmtId="0" fontId="0" fillId="0" borderId="2" xfId="0" pivotButton="1" applyBorder="1"/>
    <xf numFmtId="0" fontId="0" fillId="0" borderId="3" xfId="0" applyBorder="1"/>
    <xf numFmtId="0" fontId="0" fillId="0" borderId="2" xfId="0" applyBorder="1"/>
    <xf numFmtId="0" fontId="0" fillId="0" borderId="3" xfId="0" applyNumberFormat="1" applyBorder="1"/>
    <xf numFmtId="0" fontId="0" fillId="0" borderId="4" xfId="0" applyBorder="1"/>
    <xf numFmtId="0" fontId="0" fillId="0" borderId="5" xfId="0" applyNumberFormat="1" applyBorder="1"/>
    <xf numFmtId="0" fontId="0" fillId="0" borderId="6" xfId="0" applyBorder="1"/>
    <xf numFmtId="0" fontId="0" fillId="0" borderId="7" xfId="0" applyNumberFormat="1" applyBorder="1"/>
    <xf numFmtId="0" fontId="0" fillId="0" borderId="8" xfId="0" applyBorder="1"/>
    <xf numFmtId="0" fontId="0" fillId="0" borderId="9" xfId="0" applyBorder="1"/>
    <xf numFmtId="0" fontId="0" fillId="0" borderId="10" xfId="0" applyBorder="1"/>
    <xf numFmtId="0" fontId="0" fillId="0" borderId="2" xfId="0" applyNumberFormat="1" applyBorder="1"/>
    <xf numFmtId="10" fontId="0" fillId="0" borderId="10" xfId="0" applyNumberFormat="1" applyBorder="1"/>
    <xf numFmtId="0" fontId="0" fillId="0" borderId="11" xfId="0" applyBorder="1"/>
    <xf numFmtId="0" fontId="0" fillId="0" borderId="4" xfId="0" applyNumberFormat="1" applyBorder="1"/>
    <xf numFmtId="10" fontId="0" fillId="0" borderId="12" xfId="0" applyNumberFormat="1" applyBorder="1"/>
    <xf numFmtId="0" fontId="0" fillId="0" borderId="13" xfId="0" applyBorder="1"/>
    <xf numFmtId="0" fontId="0" fillId="0" borderId="14" xfId="0" applyBorder="1"/>
    <xf numFmtId="0" fontId="0" fillId="0" borderId="13" xfId="0" applyNumberFormat="1" applyBorder="1"/>
    <xf numFmtId="10" fontId="0" fillId="0" borderId="15" xfId="0" applyNumberFormat="1" applyBorder="1"/>
    <xf numFmtId="0" fontId="0" fillId="0" borderId="16" xfId="0" applyNumberFormat="1" applyBorder="1"/>
  </cellXfs>
  <cellStyles count="1">
    <cellStyle name="Normal" xfId="0" builtinId="0"/>
  </cellStyles>
  <dxfs count="1">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180975</xdr:colOff>
      <xdr:row>0</xdr:row>
      <xdr:rowOff>114300</xdr:rowOff>
    </xdr:from>
    <xdr:ext cx="4876800" cy="5381625"/>
    <xdr:pic>
      <xdr:nvPicPr>
        <xdr:cNvPr id="2" name="image2.png" title="Imagem">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457200</xdr:colOff>
      <xdr:row>48</xdr:row>
      <xdr:rowOff>152400</xdr:rowOff>
    </xdr:from>
    <xdr:ext cx="4505325" cy="2085975"/>
    <xdr:pic>
      <xdr:nvPicPr>
        <xdr:cNvPr id="3" name="image1.png" title="Imagem">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ávio Freire" refreshedDate="46146.867221296299" refreshedVersion="8" recordCount="262" xr:uid="{00000000-000A-0000-FFFF-FFFF03000000}">
  <cacheSource type="worksheet">
    <worksheetSource ref="A1:L263" sheet="Análise RQ2 Soluções"/>
  </cacheSource>
  <cacheFields count="12">
    <cacheField name="ID" numFmtId="0">
      <sharedItems containsSemiMixedTypes="0" containsString="0" containsNumber="1" containsInteger="1" minValue="560" maxValue="403583"/>
    </cacheField>
    <cacheField name="-&gt;Problema código final" numFmtId="0">
      <sharedItems/>
    </cacheField>
    <cacheField name="-&gt;Tipo de Problema" numFmtId="0">
      <sharedItems/>
    </cacheField>
    <cacheField name="-&gt; Metodologia código final" numFmtId="0">
      <sharedItems/>
    </cacheField>
    <cacheField name="-&gt; Cerimônia Código Final" numFmtId="0">
      <sharedItems/>
    </cacheField>
    <cacheField name="-&gt; Papel Código Final" numFmtId="0">
      <sharedItems/>
    </cacheField>
    <cacheField name="-&gt; Efeito Código Final" numFmtId="0">
      <sharedItems/>
    </cacheField>
    <cacheField name="-&gt; Efeito: Categorias" numFmtId="0">
      <sharedItems/>
    </cacheField>
    <cacheField name="-&gt; Possíveis Soluções - Código Final" numFmtId="0">
      <sharedItems/>
    </cacheField>
    <cacheField name="Solução Código Final" numFmtId="0">
      <sharedItems/>
    </cacheField>
    <cacheField name="--&gt; Solução meta final" numFmtId="0">
      <sharedItems count="88">
        <s v="Understanding that Agile work may span beyond a single sprint"/>
        <s v="Adapting and applying Agile/Scrum practices appropriately"/>
        <s v="Adapting story splitting to team and sprint context"/>
        <s v="Adapting work structure to team needs"/>
        <s v="Adapting workflow to different work types"/>
        <s v="Adjusting team capacity"/>
        <s v="Adopting iterative development practices"/>
        <s v="Using relative estimation instead of time/cost-based estimation"/>
        <s v="Aligning technical and architectural decisions with actual needs"/>
        <s v="Aligning delivery and release decisions with business value"/>
        <s v="Improving estimation practices"/>
        <s v="Aligning readiness through collaboration"/>
        <s v="Clarifying the purpose and interpretation of estimation"/>
        <s v="Ensuring user/business value in user stories"/>
        <s v="Aligning story size and granularity with sprint constraints"/>
        <s v="Integrating and prioritizing testing in the workflow"/>
        <s v="Applying consistent evaluation criteria"/>
        <s v="Prioritizing incremental and early value delivery"/>
        <s v="Using retrospectives and inspect-and-adapt for continuous improvement"/>
        <s v="Applying QA and quality standards to user stories"/>
        <s v="Clarifying requirements through questioning and shared understanding"/>
        <s v="Improving team collaboration, ownership, and resilience"/>
        <s v="Avoiding duplicate estimation of shared work"/>
        <s v="Defining clear, testable, and context-appropriate acceptance criteria"/>
        <s v="Limiting scope and preventing overbuilding"/>
        <s v="Avoiding overreliance on story mapping"/>
        <s v="Avoiding rigid scope commitments"/>
        <s v="Decomposing work into appropriately sized pieces"/>
        <s v="Avoiding UX/UI bottlenecks, waste, and pipelining"/>
        <s v="Structuring user stories into clear tasks and subtasks"/>
        <s v="Using vertical/end-to-end slicing"/>
        <s v="Breaking work into independent enabling increments"/>
        <s v="Broadening the definition of value"/>
        <s v="Clarifying user story concepts and abstraction levels"/>
        <s v="Clarifying slicing strategy and team responsibilities"/>
        <s v="Using time-based estimation when appropriate"/>
        <s v="Assigning tasks based on developer/team skills"/>
        <s v="Converting large stories into epics"/>
        <s v="Ensuring independent value and releasability of stories"/>
        <s v="Decomposing large user stories into smaller stories"/>
        <s v="Integrating UX/UI work with user stories and development"/>
        <s v="Decomposing work and iterating incrementally"/>
        <s v="Deferring estimation until readiness"/>
        <s v="Using Definition of Done to guide validation and completion"/>
        <s v="Defining high-level goals before deriving user stories"/>
        <s v="Defining readiness criteria for UX/UI work"/>
        <s v="Maintaining traceability between stories, tasks, and issues"/>
        <s v="Encouraging developer clarification of design"/>
        <s v="Making all work visible in the product backlog"/>
        <s v="Increasing stakeholder/customer involvement and feedback"/>
        <s v="Focusing on consistency over accuracy in estimation"/>
        <s v="Keeping user stories focused on user-relevant needs and rationale"/>
        <s v="Structuring and refining the product backlog"/>
        <s v="Promoting communication among team members and stakeholders"/>
        <s v="Improving knowledge sharing"/>
        <s v="Improving requirements engineering practices"/>
        <s v="Training stakeholders about user story quality and impact"/>
        <s v="Improving domain knowledge through training and expert involvement"/>
        <s v="Improving user story quality through refinement"/>
        <s v="Including design in Definition of Ready"/>
        <s v="Defining UX/UI role within or outside the Scrum team"/>
        <s v="Managing estimation uncertainty through decomposition and exploratory work"/>
        <s v="Incremental feature decomposition"/>
        <s v="Managing UX/UI work within or across sprints"/>
        <s v="Involving developers earlier in the requirements process"/>
        <s v="Maintaining appropriate abstraction levels"/>
        <s v="Maintaining lightweight and adaptable analysis"/>
        <s v="Managing dependencies explicitly"/>
        <s v="Managing technical debt explicitly"/>
        <s v="Managing flow and limiting WIP"/>
        <s v="Managing workflow around blockers"/>
        <s v="Promoting collaborative user story writing and communication"/>
        <s v="Reducing upfront design overhead"/>
        <s v="Using and respecting timeboxes"/>
        <s v="Separating effort estimation from business value and cost estimation"/>
        <s v="Splitting functionality and design into separate stories"/>
        <s v="Structuring teams by functional areas"/>
        <s v="Using collaborative estimation techniques"/>
        <s v="Using complementary structures to mitigate slicing drawbacks"/>
        <s v="Using creative problem-solving techniques"/>
        <s v="Using data and tracking for planning and process improvement"/>
        <s v="Using supporting artifacts to clarify and derive user stories"/>
        <s v="Using experienced leadership to guide process and decomposition"/>
        <s v="Using historical reference stories for estimation"/>
        <s v="Supporting vertical work through full-stack skills, pair programming, and collective ownership"/>
        <s v="Using root cause analysis to improve estimation practices"/>
        <s v="Using story points and velocity for team planning"/>
        <s v="Using summaries as guidance rather than full specification"/>
      </sharedItems>
    </cacheField>
    <cacheField name="-&gt; Categoria"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ávio Freire" refreshedDate="46146.867221759261" refreshedVersion="8" recordCount="42" xr:uid="{00000000-000A-0000-FFFF-FFFF02000000}">
  <cacheSource type="worksheet">
    <worksheetSource ref="A1:I43" sheet="Análise RQs"/>
  </cacheSource>
  <cacheFields count="9">
    <cacheField name="ID" numFmtId="0">
      <sharedItems containsSemiMixedTypes="0" containsString="0" containsNumber="1" containsInteger="1" minValue="560" maxValue="403583"/>
    </cacheField>
    <cacheField name="-&gt;Problema código final" numFmtId="0">
      <sharedItems count="11">
        <s v="Process/workflow issues around user stories"/>
        <s v="UX/UI integration challenges around user stories"/>
        <s v="Difficulties in estimating user stories"/>
        <s v="User stories framed as solutions or technical tasks"/>
        <s v="Poor decomposition and granularity of user stories"/>
        <s v="User stories lacking user value orientation"/>
        <s v="Lack of clarity and completeness in user stories"/>
        <s v="Lack of product/domain knowledge"/>
        <s v="Poorly defined or missing acceptance criteria"/>
        <s v="Rework and delivery issues caused by user story problems"/>
        <s v="User story writing improvement need"/>
      </sharedItems>
    </cacheField>
    <cacheField name="-&gt;Tipo de Problema" numFmtId="0">
      <sharedItems count="2">
        <s v="User Story Process Issues"/>
        <s v="User Story Artifact Issues"/>
      </sharedItems>
    </cacheField>
    <cacheField name="-&gt; Metodologia código final" numFmtId="0">
      <sharedItems/>
    </cacheField>
    <cacheField name="-&gt; Cerimônia Código Final" numFmtId="0">
      <sharedItems/>
    </cacheField>
    <cacheField name="-&gt; Papel Código Final" numFmtId="0">
      <sharedItems/>
    </cacheField>
    <cacheField name="-&gt; Efeito Código Final" numFmtId="0">
      <sharedItems count="13">
        <s v="Reduced quality assurance and validation effectiveness"/>
        <s v="Delays and work blockages"/>
        <s v="Workflow disruptions and delivery blockages"/>
        <s v="Estimation uncertainty and inaccuracy"/>
        <s v="Inefficient backlog organization and management"/>
        <s v="Reduced delivery of independent and valuable increments"/>
        <s v="Reduced autonomy and professional motivation"/>
        <s v="Misalignment with product goals and priorities"/>
        <s v="Breakdowns in team communication and collaboration"/>
        <s v="Poor task decomposition and structuring"/>
        <s v="Sprint instability and unreliable planning"/>
        <s v="Inconsistent adherence to development practices"/>
        <s v="Increased rework and time pressure"/>
      </sharedItems>
    </cacheField>
    <cacheField name="-&gt; Efeito: Categorias" numFmtId="0">
      <sharedItems count="6">
        <s v="Quality Effects"/>
        <s v="Process Execution Effects"/>
        <s v="Planning &amp; Estimation Effects"/>
        <s v="Organizational Effects"/>
        <s v="Product &amp; Value Effects"/>
        <s v="Human &amp; Social Effects"/>
      </sharedItems>
    </cacheField>
    <cacheField name="-&gt; Possíveis Soluções - Código Final"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ávio Freire" refreshedDate="46146.867222106484" refreshedVersion="8" recordCount="18" xr:uid="{00000000-000A-0000-FFFF-FFFF01000000}">
  <cacheSource type="worksheet">
    <worksheetSource ref="A1:I19" sheet="Análise RQs"/>
  </cacheSource>
  <cacheFields count="9">
    <cacheField name="ID" numFmtId="0">
      <sharedItems containsSemiMixedTypes="0" containsString="0" containsNumber="1" containsInteger="1" minValue="3017" maxValue="396625"/>
    </cacheField>
    <cacheField name="-&gt;Problema código final" numFmtId="0">
      <sharedItems/>
    </cacheField>
    <cacheField name="-&gt;Tipo de Problema" numFmtId="0">
      <sharedItems/>
    </cacheField>
    <cacheField name="-&gt; Metodologia código final" numFmtId="0">
      <sharedItems/>
    </cacheField>
    <cacheField name="-&gt; Cerimônia Código Final" numFmtId="0">
      <sharedItems/>
    </cacheField>
    <cacheField name="-&gt; Papel Código Final" numFmtId="0">
      <sharedItems/>
    </cacheField>
    <cacheField name="-&gt; Efeito Código Final" numFmtId="0">
      <sharedItems count="10">
        <s v="Reduced quality assurance and validation effectiveness"/>
        <s v="Delays and work blockages"/>
        <s v="Workflow disruptions and delivery blockages"/>
        <s v="Estimation uncertainty and inaccuracy"/>
        <s v="Inefficient backlog organization and management"/>
        <s v="Reduced delivery of independent and valuable increments"/>
        <s v="Reduced autonomy and professional motivation"/>
        <s v="Misalignment with product goals and priorities"/>
        <s v="Breakdowns in team communication and collaboration"/>
        <s v="Poor task decomposition and structuring"/>
      </sharedItems>
    </cacheField>
    <cacheField name="-&gt; Efeito: Categorias" numFmtId="0">
      <sharedItems count="6">
        <s v="Quality Effects"/>
        <s v="Process Execution Effects"/>
        <s v="Planning &amp; Estimation Effects"/>
        <s v="Organizational Effects"/>
        <s v="Product &amp; Value Effects"/>
        <s v="Human &amp; Social Effects"/>
      </sharedItems>
    </cacheField>
    <cacheField name="-&gt; Possíveis Soluções - Código Final"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ávio Freire" refreshedDate="46146.867222222223" refreshedVersion="8" recordCount="42" xr:uid="{00000000-000A-0000-FFFF-FFFF00000000}">
  <cacheSource type="worksheet">
    <worksheetSource ref="A1:Y43" sheet="Análise para RQs"/>
  </cacheSource>
  <cacheFields count="60">
    <cacheField name="ID" numFmtId="0">
      <sharedItems containsSemiMixedTypes="0" containsString="0" containsNumber="1" containsInteger="1" minValue="560" maxValue="403583"/>
    </cacheField>
    <cacheField name="Fórum" numFmtId="0">
      <sharedItems/>
    </cacheField>
    <cacheField name="ID Site" numFmtId="0">
      <sharedItems containsNonDate="0" containsString="0" containsBlank="1"/>
    </cacheField>
    <cacheField name="Site" numFmtId="0">
      <sharedItems/>
    </cacheField>
    <cacheField name="Título" numFmtId="0">
      <sharedItems/>
    </cacheField>
    <cacheField name="Critério" numFmtId="0">
      <sharedItems/>
    </cacheField>
    <cacheField name="Ano" numFmtId="0">
      <sharedItems containsSemiMixedTypes="0" containsString="0" containsNumber="1" containsInteger="1" minValue="2011" maxValue="2022"/>
    </cacheField>
    <cacheField name="Última resposta com score &gt; 0" numFmtId="0">
      <sharedItems containsSemiMixedTypes="0" containsString="0" containsNumber="1" containsInteger="1" minValue="2011" maxValue="2022"/>
    </cacheField>
    <cacheField name="Nacionalidade" numFmtId="0">
      <sharedItems/>
    </cacheField>
    <cacheField name="Problema (Pergunta)_x000a_Nicole" numFmtId="0">
      <sharedItems/>
    </cacheField>
    <cacheField name="Problema (Pergunta)_x000a_Yuri" numFmtId="0">
      <sharedItems/>
    </cacheField>
    <cacheField name="Problema (Pergunta)_x000a_Consenso" numFmtId="0">
      <sharedItems containsBlank="1"/>
    </cacheField>
    <cacheField name="Problema - Código" numFmtId="0">
      <sharedItems/>
    </cacheField>
    <cacheField name="-&gt;Problema código final" numFmtId="0">
      <sharedItems/>
    </cacheField>
    <cacheField name="-&gt;Tipo de Problema" numFmtId="0">
      <sharedItems/>
    </cacheField>
    <cacheField name="Trecho - Problema_x000a_Nicole" numFmtId="0">
      <sharedItems/>
    </cacheField>
    <cacheField name="Trecho - Problema_x000a_Yuri" numFmtId="0">
      <sharedItems/>
    </cacheField>
    <cacheField name="Trecho - Problema_x000a_Consenso" numFmtId="0">
      <sharedItems/>
    </cacheField>
    <cacheField name="Metodologia Ágil (Pergunta)_x000a_Nicole" numFmtId="0">
      <sharedItems/>
    </cacheField>
    <cacheField name="Metodologia Ágil (Pergunta)_x000a_Yuri" numFmtId="0">
      <sharedItems/>
    </cacheField>
    <cacheField name="Metodologia_x000a_Consenso" numFmtId="0">
      <sharedItems/>
    </cacheField>
    <cacheField name="-&gt; Metodologia código final" numFmtId="0">
      <sharedItems count="6">
        <s v="Not mentioned"/>
        <s v="Kanban"/>
        <s v="Scrum"/>
        <s v="XP"/>
        <s v="BDD"/>
        <s v="Lean Start-up"/>
      </sharedItems>
    </cacheField>
    <cacheField name="Metodologia - Código Final" numFmtId="0">
      <sharedItems/>
    </cacheField>
    <cacheField name="Trecho - Metodologia Ágil_x000a_Nicole" numFmtId="0">
      <sharedItems/>
    </cacheField>
    <cacheField name="Trecho - Metodologia Ágil_x000a_Yuri" numFmtId="0">
      <sharedItems/>
    </cacheField>
    <cacheField name="Trecho - Metodologia Ágil_x000a_Consenso" numFmtId="0">
      <sharedItems/>
    </cacheField>
    <cacheField name="Cerimônia (Pergunta)_x000a_Nicole" numFmtId="0">
      <sharedItems/>
    </cacheField>
    <cacheField name="Cerimônia (Pergunta)_x000a_Yuri" numFmtId="0">
      <sharedItems/>
    </cacheField>
    <cacheField name="Cerimônia (Pergunta)_x000a_Consenso" numFmtId="0">
      <sharedItems/>
    </cacheField>
    <cacheField name="-&gt; Cerimônia Código Final" numFmtId="0">
      <sharedItems count="6">
        <s v="Sprint"/>
        <s v="Not mentioned"/>
        <s v="Sprint Planning"/>
        <s v="Planning"/>
        <s v="Backlog refinament"/>
        <s v="Release Planning"/>
      </sharedItems>
    </cacheField>
    <cacheField name="Cerimônia - Código Final" numFmtId="0">
      <sharedItems containsBlank="1"/>
    </cacheField>
    <cacheField name="Trecho - Cerimônia_x000a_Nicole" numFmtId="0">
      <sharedItems/>
    </cacheField>
    <cacheField name="Trecho - Cerimônia_x000a_Yuri" numFmtId="0">
      <sharedItems/>
    </cacheField>
    <cacheField name="Trecho - Cerimônia_x000a_Consenso" numFmtId="0">
      <sharedItems/>
    </cacheField>
    <cacheField name="Papel (Pergunta)_x000a_Nicole" numFmtId="0">
      <sharedItems/>
    </cacheField>
    <cacheField name="Papel (Pergunta)_x000a_Yuri" numFmtId="0">
      <sharedItems/>
    </cacheField>
    <cacheField name="Papel (Pergunta)_x000a_Consenso" numFmtId="0">
      <sharedItems/>
    </cacheField>
    <cacheField name="-&gt; Papel Código Final" numFmtId="0">
      <sharedItems count="4">
        <s v="Not mentioned"/>
        <s v="Team"/>
        <s v="Product owner"/>
        <s v="Scrum Master"/>
      </sharedItems>
    </cacheField>
    <cacheField name="Papel - Código Final" numFmtId="0">
      <sharedItems/>
    </cacheField>
    <cacheField name="Trecho - Papel_x000a_Nicole" numFmtId="0">
      <sharedItems/>
    </cacheField>
    <cacheField name="Trecho - Papel_x000a_Yuri" numFmtId="0">
      <sharedItems/>
    </cacheField>
    <cacheField name="Trecho - Papel_x000a_Consenso" numFmtId="0">
      <sharedItems/>
    </cacheField>
    <cacheField name="Efeito (Pergunta)_x000a_Nicole" numFmtId="0">
      <sharedItems/>
    </cacheField>
    <cacheField name="Efeito (Pergunta)_x000a_Yuri" numFmtId="0">
      <sharedItems/>
    </cacheField>
    <cacheField name="Efeito (Pergunta)_x000a_Consenso" numFmtId="0">
      <sharedItems/>
    </cacheField>
    <cacheField name="Efeito (Pergunta)_x000a_Consenso -em inglês" numFmtId="0">
      <sharedItems/>
    </cacheField>
    <cacheField name="-&gt; Efeito Código Final" numFmtId="0">
      <sharedItems/>
    </cacheField>
    <cacheField name="-&gt; Efeito: Categorias" numFmtId="0">
      <sharedItems/>
    </cacheField>
    <cacheField name="Efeito - Código Final" numFmtId="0">
      <sharedItems containsBlank="1"/>
    </cacheField>
    <cacheField name="Trecho - Efeito_x000a_Nicole" numFmtId="0">
      <sharedItems/>
    </cacheField>
    <cacheField name="Trecho - Efeito_x000a_Yuri" numFmtId="0">
      <sharedItems/>
    </cacheField>
    <cacheField name="Trecho - Efeito_x000a_Consenso" numFmtId="0">
      <sharedItems/>
    </cacheField>
    <cacheField name="-&gt; Possíveis Soluções - Código Final" numFmtId="0">
      <sharedItems containsBlank="1"/>
    </cacheField>
    <cacheField name="Possíveis Soluções (Respostas)" numFmtId="0">
      <sharedItems containsBlank="1"/>
    </cacheField>
    <cacheField name="Possíveis Soluções - Código Final" numFmtId="0">
      <sharedItems/>
    </cacheField>
    <cacheField name="Possíveis soluções - Consenso" numFmtId="0">
      <sharedItems/>
    </cacheField>
    <cacheField name="Trecho - Possíveis Soluções" numFmtId="0">
      <sharedItems containsNonDate="0" containsString="0" containsBlank="1"/>
    </cacheField>
    <cacheField name=" " numFmtId="0">
      <sharedItems containsSemiMixedTypes="0" containsString="0" containsNumber="1" containsInteger="1" minValue="1" maxValue="42"/>
    </cacheField>
    <cacheField name="Trecho Possíveis soluções - Nicole" numFmtId="0">
      <sharedItems/>
    </cacheField>
    <cacheField name="Trecho Possíveis soluções - Yuri"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
  <r>
    <n v="31614"/>
    <s v="UX/UI integration challenges around user stories"/>
    <s v="User Story related Issues"/>
    <s v="Scrum"/>
    <s v="Sprint Planning"/>
    <s v="Not mentioned"/>
    <s v="Workflow disruption and delivery blockage"/>
    <s v="Process &amp; Workflow Effects"/>
    <s v="8. Full story completion in one sprint is not always required."/>
    <s v="Accepting multi-sprint story completion when necessary"/>
    <x v="0"/>
    <s v="Process Adaptation"/>
  </r>
  <r>
    <n v="323107"/>
    <s v="Process/workflow issues around user stories"/>
    <s v="User Story related Issues"/>
    <s v="Scrum"/>
    <s v="Not mentioned"/>
    <s v="Not mentioned"/>
    <s v="Organizational and backlog management issues"/>
    <s v="Organizational &amp; Management Effects"/>
    <s v="3. figuring out what works best for your team, product, and environment."/>
    <s v="Adapting Agile practices to context"/>
    <x v="1"/>
    <s v="Process Adaptation"/>
  </r>
  <r>
    <n v="194180"/>
    <s v="Lack of clarity and completeness in user stories"/>
    <s v="User Story Issues"/>
    <s v="XP"/>
    <s v="Not mentioned"/>
    <s v="Not mentioned"/>
    <s v="Estimation uncertainty and inaccuracy"/>
    <s v="Planning &amp; Estimation Effects"/>
    <s v="5. agile practices should be adapted to the needs and the culture"/>
    <s v="Adapting Agile practices to context"/>
    <x v="1"/>
    <s v="Process Adaptation"/>
  </r>
  <r>
    <n v="323107"/>
    <s v="Process/workflow issues around user stories"/>
    <s v="User Story related Issues"/>
    <s v="Scrum"/>
    <s v="Not mentioned"/>
    <s v="Not mentioned"/>
    <s v="Organizational and backlog management issues"/>
    <s v="Organizational &amp; Management Effects"/>
    <s v="1. scrum enabling self-directed team with no universal right way to write stories."/>
    <s v="Adapting Agile practices to team context"/>
    <x v="1"/>
    <s v="Process Adaptation"/>
  </r>
  <r>
    <n v="240325"/>
    <s v="User stories framed as solutions or technical tasks"/>
    <s v="User Story Issues"/>
    <s v="Scrum"/>
    <s v="Sprint"/>
    <s v="Not mentioned"/>
    <s v="Organizational and backlog management issues"/>
    <s v="Organizational &amp; Management Effects"/>
    <s v="5. splitting story based on team size, team separation, or sprint differences."/>
    <s v="Adapting story splitting to team and sprint context"/>
    <x v="2"/>
    <s v="Work Structuring"/>
  </r>
  <r>
    <n v="323107"/>
    <s v="Process/workflow issues around user stories"/>
    <s v="User Story related Issues"/>
    <s v="Scrum"/>
    <s v="Not mentioned"/>
    <s v="Not mentioned"/>
    <s v="Organizational and backlog management issues"/>
    <s v="Organizational &amp; Management Effects"/>
    <s v="2. tasks must work for the team doing the work."/>
    <s v="Adapting work structure to team needs"/>
    <x v="3"/>
    <s v="Process Adaptation"/>
  </r>
  <r>
    <n v="340712"/>
    <s v="Process/workflow issues around user stories"/>
    <s v="User Story related Issues"/>
    <s v="Lean Start-up"/>
    <s v="Not mentioned"/>
    <s v="Not mentioned"/>
    <s v="Difficulty in decomposition and task structuring"/>
    <s v="Structural &amp; Quality Effects"/>
    <s v="1. Evaluate sub-workflows to determine appropriate approaches for architecture-oriented work"/>
    <s v="Adapting workflow for different work types"/>
    <x v="4"/>
    <s v="Process Adaptation"/>
  </r>
  <r>
    <n v="31666"/>
    <s v="Process/workflow issues around user stories"/>
    <s v="User Story related Issues"/>
    <s v="Scrum"/>
    <s v="Sprint"/>
    <s v="Not mentioned"/>
    <s v="Sprint instability and planning issues"/>
    <s v="Process &amp; Workflow Effects"/>
    <s v="2. Add team members when existing capacity cannot meet quality expectations."/>
    <s v="Adjusting team capacity"/>
    <x v="5"/>
    <s v="Process Adaptation"/>
  </r>
  <r>
    <n v="25714"/>
    <s v="Difficulties in estimating user stories"/>
    <s v="User Story related Issues"/>
    <s v="Scrum"/>
    <s v="Sprint"/>
    <s v="Not mentioned"/>
    <s v="Estimation uncertainty and inaccuracy"/>
    <s v="Planning &amp; Estimation Effects"/>
    <s v="10. show new versions to key stakeholders as often as you can"/>
    <s v="Adopting iterative development practices"/>
    <x v="6"/>
    <s v="Continuous Learning"/>
  </r>
  <r>
    <n v="11247"/>
    <s v="Difficulties in estimating user stories"/>
    <s v="User Story related Issues"/>
    <s v="Scrum"/>
    <s v="Planning"/>
    <s v="Not mentioned"/>
    <s v="Estimation uncertainty and inaccuracy"/>
    <s v="Planning &amp; Estimation Effects"/>
    <s v="1. point value determined by environmental factors and team, not time or cost."/>
    <s v="Adopting relative estimation instead of time/cost-based estimation"/>
    <x v="7"/>
    <s v="Effort Estimation &amp; Planning"/>
  </r>
  <r>
    <n v="11247"/>
    <s v="Difficulties in estimating user stories"/>
    <s v="User Story related Issues"/>
    <s v="Scrum"/>
    <s v="Planning"/>
    <s v="Not mentioned"/>
    <s v="Estimation uncertainty and inaccuracy"/>
    <s v="Planning &amp; Estimation Effects"/>
    <s v="3. Avoid cost-based estimation for stories"/>
    <s v="Adopting relative estimation instead of time/cost-based estimation"/>
    <x v="7"/>
    <s v="Effort Estimation &amp; Planning"/>
  </r>
  <r>
    <n v="11247"/>
    <s v="Difficulties in estimating user stories"/>
    <s v="User Story related Issues"/>
    <s v="Scrum"/>
    <s v="Planning"/>
    <s v="Not mentioned"/>
    <s v="Estimation uncertainty and inaccuracy"/>
    <s v="Planning &amp; Estimation Effects"/>
    <s v=" 4. Avoid using monetary units to estimate story complexity or time."/>
    <s v="Adopting relative estimation instead of time/cost-based estimation"/>
    <x v="7"/>
    <s v="Effort Estimation &amp; Planning"/>
  </r>
  <r>
    <n v="403583"/>
    <s v="Difficulties in estimating user stories"/>
    <s v="User Story related Issues"/>
    <s v="Scrum"/>
    <s v="Planning"/>
    <s v="Not mentioned"/>
    <s v="Estimation uncertainty and inaccuracy"/>
    <s v="Planning &amp; Estimation Effects"/>
    <s v="1. don't convert story points into money"/>
    <s v="Adopting relative estimation instead of time/cost-based estimation"/>
    <x v="7"/>
    <s v="Effort Estimation &amp; Planning"/>
  </r>
  <r>
    <n v="403583"/>
    <s v="Difficulties in estimating user stories"/>
    <s v="User Story related Issues"/>
    <s v="Scrum"/>
    <s v="Planning"/>
    <s v="Not mentioned"/>
    <s v="Estimation uncertainty and inaccuracy"/>
    <s v="Planning &amp; Estimation Effects"/>
    <s v="2. story points do not convert to time"/>
    <s v="Adopting relative estimation instead of time/cost-based estimation"/>
    <x v="7"/>
    <s v="Effort Estimation &amp; Planning"/>
  </r>
  <r>
    <n v="403583"/>
    <s v="Difficulties in estimating user stories"/>
    <s v="User Story related Issues"/>
    <s v="Scrum"/>
    <s v="Planning"/>
    <s v="Not mentioned"/>
    <s v="Estimation uncertainty and inaccuracy"/>
    <s v="Planning &amp; Estimation Effects"/>
    <s v="4. Use story points as relative estimates, not as time or cost equivalents. 5. Keep time and cost estimates separate from story point estimation."/>
    <s v="Adopting relative estimation instead of time/cost-based estimation"/>
    <x v="7"/>
    <s v="Effort Estimation &amp; Planning"/>
  </r>
  <r>
    <n v="41750"/>
    <s v="User stories lacking user value orientation"/>
    <s v="User Story Issues"/>
    <s v="Not mentioned"/>
    <s v="Not mentioned"/>
    <s v="Not mentioned"/>
    <s v="Estimation uncertainty and inaccuracy"/>
    <s v="Planning &amp; Estimation Effects"/>
    <s v="2. talking with PO and customers about architecture instead of just list of stories."/>
    <s v="Aligning architecture discussions with stakeholders"/>
    <x v="8"/>
    <s v="Technical Foundations"/>
  </r>
  <r>
    <n v="14189"/>
    <s v="User stories lacking user value orientation"/>
    <s v="User Story Issues"/>
    <s v="Scrum"/>
    <s v="Not mentioned"/>
    <s v="Not mentioned"/>
    <s v="Lack of independence and value delivery issues"/>
    <s v="Product &amp; Value Effects"/>
    <s v="5. Delivery means ready to ship, not necessarily released, release is driven by business value."/>
    <s v="Aligning delivery with business-driven release"/>
    <x v="9"/>
    <s v="Value Orientation"/>
  </r>
  <r>
    <n v="396625"/>
    <s v="Difficulties in estimating user stories"/>
    <s v="User Story related Issues"/>
    <s v="Not mentioned"/>
    <s v="Not mentioned"/>
    <s v="Not mentioned"/>
    <s v="Estimation uncertainty and inaccuracy"/>
    <s v="Planning &amp; Estimation Effects"/>
    <s v="1. Use story points and velocity for team-level planning, not external forecasting "/>
    <s v="Aligning estimation practices with Agile principles"/>
    <x v="10"/>
    <s v="Effort Estimation &amp; Planning"/>
  </r>
  <r>
    <n v="396625"/>
    <s v="Difficulties in estimating user stories"/>
    <s v="User Story related Issues"/>
    <s v="Not mentioned"/>
    <s v="Not mentioned"/>
    <s v="Not mentioned"/>
    <s v="Estimation uncertainty and inaccuracy"/>
    <s v="Planning &amp; Estimation Effects"/>
    <s v="2. Story points and velocity support sprint planning, not management deadlines."/>
    <s v="Aligning estimation practices with Agile principles"/>
    <x v="10"/>
    <s v="Effort Estimation &amp; Planning"/>
  </r>
  <r>
    <n v="396625"/>
    <s v="Difficulties in estimating user stories"/>
    <s v="User Story related Issues"/>
    <s v="Not mentioned"/>
    <s v="Not mentioned"/>
    <s v="Not mentioned"/>
    <s v="Estimation uncertainty and inaccuracy"/>
    <s v="Planning &amp; Estimation Effects"/>
    <s v="3. Commit to Agile principles over hybrid traditional approaches"/>
    <s v="Aligning estimation practices with Agile principles"/>
    <x v="10"/>
    <s v="Effort Estimation &amp; Planning"/>
  </r>
  <r>
    <n v="396625"/>
    <s v="Difficulties in estimating user stories"/>
    <s v="User Story related Issues"/>
    <s v="Not mentioned"/>
    <s v="Not mentioned"/>
    <s v="Not mentioned"/>
    <s v="Estimation uncertainty and inaccuracy"/>
    <s v="Planning &amp; Estimation Effects"/>
    <s v="4. Avoid mixing Agile with traditional methods; embrace empiricism and adaptability."/>
    <s v="Aligning estimation practices with Agile principles"/>
    <x v="10"/>
    <s v="Effort Estimation &amp; Planning"/>
  </r>
  <r>
    <n v="31614"/>
    <s v="UX/UI integration challenges around user stories"/>
    <s v="User Story related Issues"/>
    <s v="Scrum"/>
    <s v="Sprint Planning"/>
    <s v="Not mentioned"/>
    <s v="Workflow disruption and delivery blockage"/>
    <s v="Process &amp; Workflow Effects"/>
    <s v="10. Align requirement readiness with team collaboration before sprint planning."/>
    <s v="Aligning readiness through collaboration"/>
    <x v="11"/>
    <s v="Collaboration &amp; Alignment"/>
  </r>
  <r>
    <n v="26673"/>
    <s v="Poor decomposition and granularity of user stories"/>
    <s v="User Story Issues"/>
    <s v="Scrum"/>
    <s v="Not mentioned"/>
    <s v="Team"/>
    <s v="Lack of independence and value delivery issues"/>
    <s v="Product &amp; Value Effects"/>
    <s v="4. Select solution complexity based on actual user needs, not assumptions"/>
    <s v="Aligning solution complexity with actual user needs"/>
    <x v="8"/>
    <s v="Technical Foundations"/>
  </r>
  <r>
    <n v="22001"/>
    <s v="Poor decomposition and granularity of user stories"/>
    <s v="User Story Issues"/>
    <s v="Not mentioned"/>
    <s v="Not mentioned"/>
    <s v="Not mentioned"/>
    <s v="Difficulty in decomposition and task structuring"/>
    <s v="Structural &amp; Quality Effects"/>
    <s v="1. whole team and stakeholders agree on what estimating techniques measure"/>
    <s v="Aligning stakeholders on estimation meaning and purpose"/>
    <x v="12"/>
    <s v="Effort Estimation &amp; Planning"/>
  </r>
  <r>
    <n v="232488"/>
    <s v="User stories lacking user value orientation"/>
    <s v="User Story Issues"/>
    <s v="Scrum"/>
    <s v="Sprint Planning"/>
    <s v="Not mentioned"/>
    <s v="Methodological inconsistency"/>
    <s v="Process &amp; Workflow Effects"/>
    <s v="5. user stories aligned with user needs with clear value statement."/>
    <s v="Aligning stories with user needs"/>
    <x v="13"/>
    <s v="Value Orientation"/>
  </r>
  <r>
    <n v="22001"/>
    <s v="Poor decomposition and granularity of user stories"/>
    <s v="User Story Issues"/>
    <s v="Not mentioned"/>
    <s v="Not mentioned"/>
    <s v="Not mentioned"/>
    <s v="Difficulty in decomposition and task structuring"/>
    <s v="Structural &amp; Quality Effects"/>
    <s v="8. think about sprint duration"/>
    <s v="Aligning story size with sprint duration"/>
    <x v="14"/>
    <s v="Work Structuring"/>
  </r>
  <r>
    <n v="31666"/>
    <s v="Process/workflow issues around user stories"/>
    <s v="User Story related Issues"/>
    <s v="Scrum"/>
    <s v="Sprint"/>
    <s v="Not mentioned"/>
    <s v="Sprint instability and planning issues"/>
    <s v="Process &amp; Workflow Effects"/>
    <s v="6. goals of testing are more closely aligned to reducing technical debt"/>
    <s v="Aligning testing with technical debt reduction"/>
    <x v="15"/>
    <s v="Quality Assurance"/>
  </r>
  <r>
    <n v="31666"/>
    <s v="Process/workflow issues around user stories"/>
    <s v="User Story related Issues"/>
    <s v="Scrum"/>
    <s v="Sprint"/>
    <s v="Not mentioned"/>
    <s v="Sprint instability and planning issues"/>
    <s v="Process &amp; Workflow Effects"/>
    <s v="8. budget in more time for testing"/>
    <s v="Allocating sufficient time for testing"/>
    <x v="15"/>
    <s v="Quality Assurance"/>
  </r>
  <r>
    <n v="31614"/>
    <s v="UX/UI integration challenges around user stories"/>
    <s v="User Story related Issues"/>
    <s v="Scrum"/>
    <s v="Sprint Planning"/>
    <s v="Not mentioned"/>
    <s v="Workflow disruption and delivery blockage"/>
    <s v="Process &amp; Workflow Effects"/>
    <s v="7. Agile is to be flexible"/>
    <s v="Applying Agile flexibility in UX/UI integration"/>
    <x v="1"/>
    <s v="Process Adaptation"/>
  </r>
  <r>
    <n v="354302"/>
    <s v="Process/workflow issues around user stories"/>
    <s v="User Story related Issues"/>
    <s v="Not mentioned"/>
    <s v="Not mentioned"/>
    <s v="Not mentioned"/>
    <s v="Communication and collaboration issues"/>
    <s v="Human &amp; Social Effects"/>
    <s v="7- 7 - agile principles applied incrementally"/>
    <s v="Applying Agile principles incrementally"/>
    <x v="1"/>
    <s v="Process Adaptation"/>
  </r>
  <r>
    <n v="25714"/>
    <s v="Difficulties in estimating user stories"/>
    <s v="User Story related Issues"/>
    <s v="Scrum"/>
    <s v="Sprint"/>
    <s v="Not mentioned"/>
    <s v="Estimation uncertainty and inaccuracy"/>
    <s v="Planning &amp; Estimation Effects"/>
    <s v="7. understand the needs of the story"/>
    <s v="Applying consistent evaluation criteria"/>
    <x v="16"/>
    <s v="Quality Assurance"/>
  </r>
  <r>
    <n v="25714"/>
    <s v="Difficulties in estimating user stories"/>
    <s v="User Story related Issues"/>
    <s v="Scrum"/>
    <s v="Sprint"/>
    <s v="Not mentioned"/>
    <s v="Estimation uncertainty and inaccuracy"/>
    <s v="Planning &amp; Estimation Effects"/>
    <s v="13. stop when it's good enough for now"/>
    <s v="Applying incremental delivery mindset"/>
    <x v="17"/>
    <s v="Value Orientation"/>
  </r>
  <r>
    <n v="232488"/>
    <s v="User stories lacking user value orientation"/>
    <s v="User Story Issues"/>
    <s v="Scrum"/>
    <s v="Sprint Planning"/>
    <s v="Not mentioned"/>
    <s v="Methodological inconsistency"/>
    <s v="Process &amp; Workflow Effects"/>
    <s v="4. inspecting and adapting frequently if current way of working delivers value."/>
    <s v="Applying inspect-and-adapt"/>
    <x v="18"/>
    <s v="Continuous Learning"/>
  </r>
  <r>
    <n v="354302"/>
    <s v="Process/workflow issues around user stories"/>
    <s v="User Story related Issues"/>
    <s v="Not mentioned"/>
    <s v="Not mentioned"/>
    <s v="Not mentioned"/>
    <s v="Communication and collaboration issues"/>
    <s v="Human &amp; Social Effects"/>
    <s v="10. Adopt a pragmatic approach."/>
    <s v="Applying pragmatic Agile practices"/>
    <x v="1"/>
    <s v="Process Adaptation"/>
  </r>
  <r>
    <n v="232488"/>
    <s v="User stories lacking user value orientation"/>
    <s v="User Story Issues"/>
    <s v="Scrum"/>
    <s v="Sprint Planning"/>
    <s v="Not mentioned"/>
    <s v="Methodological inconsistency"/>
    <s v="Process &amp; Workflow Effects"/>
    <s v="2. not getting hung up on scrum dogma if current approach delivers better software."/>
    <s v="Applying pragmatic Agile practices"/>
    <x v="1"/>
    <s v="Process Adaptation"/>
  </r>
  <r>
    <n v="127213"/>
    <s v="Lack of clarity and completeness in user stories"/>
    <s v="User Story Issues"/>
    <s v="Not mentioned"/>
    <s v="Not mentioned"/>
    <s v="Product owner"/>
    <s v="Misalignment with goals and prioritization"/>
    <s v="Product &amp; Value Effects"/>
    <s v="1. Quality Assurance filters out bad/unusable results. "/>
    <s v="Applying quality assurance practices"/>
    <x v="19"/>
    <s v="Quality Assurance"/>
  </r>
  <r>
    <n v="127213"/>
    <s v="Lack of clarity and completeness in user stories"/>
    <s v="User Story Issues"/>
    <s v="Not mentioned"/>
    <s v="Not mentioned"/>
    <s v="Product owner"/>
    <s v="Misalignment with goals and prioritization"/>
    <s v="Product &amp; Value Effects"/>
    <s v="2. great user stories require Quality Assurance and definition of greatness."/>
    <s v="Applying quality standards to user stories"/>
    <x v="19"/>
    <s v="Quality Assurance"/>
  </r>
  <r>
    <n v="127213"/>
    <s v="Lack of clarity and completeness in user stories"/>
    <s v="User Story Issues"/>
    <s v="Not mentioned"/>
    <s v="Not mentioned"/>
    <s v="Product owner"/>
    <s v="Misalignment with goals and prioritization"/>
    <s v="Product &amp; Value Effects"/>
    <s v="3. assuring user stories meet quality standards before estimating."/>
    <s v="Applying quality standards to user stories"/>
    <x v="19"/>
    <s v="Quality Assurance"/>
  </r>
  <r>
    <n v="231273"/>
    <s v="User stories framed as solutions or technical tasks"/>
    <s v="User Story Issues"/>
    <s v="Not mentioned"/>
    <s v="Backlog refinament"/>
    <s v="Team"/>
    <s v="Loss of autonomy and professional degradation"/>
    <s v="Human &amp; Social Effects"/>
    <s v="4. keep asking questions until fully understanding what customer wants."/>
    <s v="Asking clarifying questions until customer needs are understood"/>
    <x v="20"/>
    <s v="Requirements Understanding"/>
  </r>
  <r>
    <n v="7953"/>
    <s v="Process/workflow issues around user stories"/>
    <s v="User Story related Issues"/>
    <s v="Scrum"/>
    <s v="Sprint Planning"/>
    <s v="Not mentioned"/>
    <s v="Communication and collaboration issues"/>
    <s v="Human &amp; Social Effects"/>
    <s v="2. retrospective to determine team bus factor."/>
    <s v="Assessing team resilience"/>
    <x v="21"/>
    <s v="Collaboration &amp; Alignment"/>
  </r>
  <r>
    <n v="240325"/>
    <s v="User stories framed as solutions or technical tasks"/>
    <s v="User Story Issues"/>
    <s v="Scrum"/>
    <s v="Sprint"/>
    <s v="Not mentioned"/>
    <s v="Organizational and backlog management issues"/>
    <s v="Organizational &amp; Management Effects"/>
    <s v="6. one person owning story and responsible for ensuring all parts are working together."/>
    <s v="Assigning single ownership for integration"/>
    <x v="21"/>
    <s v="Collaboration &amp; Alignment"/>
  </r>
  <r>
    <n v="41750"/>
    <s v="User stories lacking user value orientation"/>
    <s v="User Story Issues"/>
    <s v="Not mentioned"/>
    <s v="Not mentioned"/>
    <s v="Not mentioned"/>
    <s v="Estimation uncertainty and inaccuracy"/>
    <s v="Planning &amp; Estimation Effects"/>
    <s v="4. estimating common tasks only once."/>
    <s v="Avoiding duplicate estimation of shared work"/>
    <x v="22"/>
    <s v="Effort Estimation &amp; Planning"/>
  </r>
  <r>
    <n v="34041"/>
    <s v="Poorly defined or missing acceptance criteria"/>
    <s v="User Story Issues"/>
    <s v="Not mentioned"/>
    <s v="Not mentioned"/>
    <s v="Not mentioned"/>
    <s v="Quality assurance and validation issues"/>
    <s v="Structural &amp; Quality Effects"/>
    <s v="1. acceptance criteria are a bit too specific on implementation details"/>
    <s v="Avoiding implementation-specific acceptance criteria"/>
    <x v="23"/>
    <s v="Quality Assurance"/>
  </r>
  <r>
    <n v="31614"/>
    <s v="UX/UI integration challenges around user stories"/>
    <s v="User Story related Issues"/>
    <s v="Scrum"/>
    <s v="Sprint Planning"/>
    <s v="Not mentioned"/>
    <s v="Workflow disruption and delivery blockage"/>
    <s v="Process &amp; Workflow Effects"/>
    <s v="8. misconception that a story should be fully designed, developed and tested in a single sprint"/>
    <s v="Avoiding misconception of full story completion within one sprint"/>
    <x v="0"/>
    <s v="Process Adaptation"/>
  </r>
  <r>
    <n v="232488"/>
    <s v="User stories lacking user value orientation"/>
    <s v="User Story Issues"/>
    <s v="Scrum"/>
    <s v="Sprint Planning"/>
    <s v="Not mentioned"/>
    <s v="Methodological inconsistency"/>
    <s v="Process &amp; Workflow Effects"/>
    <s v="11. misusing scrum by filling in mechanics for existing design work."/>
    <s v="Avoiding misuse of Scrum practices"/>
    <x v="1"/>
    <s v="Process Adaptation"/>
  </r>
  <r>
    <n v="26673"/>
    <s v="Poor decomposition and granularity of user stories"/>
    <s v="User Story Issues"/>
    <s v="Scrum"/>
    <s v="Not mentioned"/>
    <s v="Team"/>
    <s v="Lack of independence and value delivery issues"/>
    <s v="Product &amp; Value Effects"/>
    <s v="2. Use only the required functionality instead of full systems. "/>
    <s v="Avoiding overbuilding by limiting scope"/>
    <x v="24"/>
    <s v="Value Orientation"/>
  </r>
  <r>
    <n v="22001"/>
    <s v="Poor decomposition and granularity of user stories"/>
    <s v="User Story Issues"/>
    <s v="Not mentioned"/>
    <s v="Not mentioned"/>
    <s v="Not mentioned"/>
    <s v="Difficulty in decomposition and task structuring"/>
    <s v="Structural &amp; Quality Effects"/>
    <s v="10. mapping is dangerous"/>
    <s v="Avoiding overreliance on story mapping"/>
    <x v="25"/>
    <s v="Process Adaptation"/>
  </r>
  <r>
    <n v="22001"/>
    <s v="Poor decomposition and granularity of user stories"/>
    <s v="User Story Issues"/>
    <s v="Not mentioned"/>
    <s v="Not mentioned"/>
    <s v="Not mentioned"/>
    <s v="Difficulty in decomposition and task structuring"/>
    <s v="Structural &amp; Quality Effects"/>
    <s v="5. time estimations give a false feeling of safety"/>
    <s v="Avoiding overreliance on time-based estimates"/>
    <x v="7"/>
    <s v="Effort Estimation &amp; Planning"/>
  </r>
  <r>
    <n v="232488"/>
    <s v="User stories lacking user value orientation"/>
    <s v="User Story Issues"/>
    <s v="Scrum"/>
    <s v="Sprint Planning"/>
    <s v="Not mentioned"/>
    <s v="Methodological inconsistency"/>
    <s v="Process &amp; Workflow Effects"/>
    <s v="9. losing flexibility by fixing scope for next sprint before it starts."/>
    <s v="Avoiding rigid scope commitments"/>
    <x v="26"/>
    <s v="Process Adaptation"/>
  </r>
  <r>
    <n v="392860"/>
    <s v="Process/workflow issues around user stories"/>
    <s v="User Story related Issues"/>
    <s v="Scrum"/>
    <s v="Not mentioned"/>
    <s v="Not mentioned"/>
    <s v="Lack of independence and value delivery issues"/>
    <s v="Product &amp; Value Effects"/>
    <s v="1. don't break down the item"/>
    <s v="Avoiding unnecessary decomposition"/>
    <x v="27"/>
    <s v="Work Structuring"/>
  </r>
  <r>
    <n v="26673"/>
    <s v="Poor decomposition and granularity of user stories"/>
    <s v="User Story Issues"/>
    <s v="Scrum"/>
    <s v="Not mentioned"/>
    <s v="Team"/>
    <s v="Lack of independence and value delivery issues"/>
    <s v="Product &amp; Value Effects"/>
    <s v="3. Avoid unnecessary databases by using simpler storage solutions when sufficient"/>
    <s v="Avoiding unnecessary technical complexity"/>
    <x v="8"/>
    <s v="Technical Foundations"/>
  </r>
  <r>
    <n v="26673"/>
    <s v="Poor decomposition and granularity of user stories"/>
    <s v="User Story Issues"/>
    <s v="Scrum"/>
    <s v="Not mentioned"/>
    <s v="Team"/>
    <s v="Lack of independence and value delivery issues"/>
    <s v="Product &amp; Value Effects"/>
    <s v="3. Do not use a database when simpler alternatives suffice"/>
    <s v="Avoiding unnecessary technical complexity"/>
    <x v="8"/>
    <s v="Technical Foundations"/>
  </r>
  <r>
    <n v="26673"/>
    <s v="Poor decomposition and granularity of user stories"/>
    <s v="User Story Issues"/>
    <s v="Scrum"/>
    <s v="Not mentioned"/>
    <s v="Team"/>
    <s v="Lack of independence and value delivery issues"/>
    <s v="Product &amp; Value Effects"/>
    <s v="5. Avoid unnecessary complexity by implementing only required permissions."/>
    <s v="Avoiding unnecessary technical complexity"/>
    <x v="8"/>
    <s v="Technical Foundations"/>
  </r>
  <r>
    <n v="232488"/>
    <s v="User stories lacking user value orientation"/>
    <s v="User Story Issues"/>
    <s v="Scrum"/>
    <s v="Sprint Planning"/>
    <s v="Not mentioned"/>
    <s v="Methodological inconsistency"/>
    <s v="Process &amp; Workflow Effects"/>
    <s v="6. Pipelining UX and development creates dependencies, waste, and reduces collaboration and value delivery."/>
    <s v="Avoiding UX-development pipelining"/>
    <x v="28"/>
    <s v="Design–Development Alignment"/>
  </r>
  <r>
    <n v="31614"/>
    <s v="UX/UI integration challenges around user stories"/>
    <s v="User Story related Issues"/>
    <s v="Scrum"/>
    <s v="Sprint Planning"/>
    <s v="Not mentioned"/>
    <s v="Workflow disruption and delivery blockage"/>
    <s v="Process &amp; Workflow Effects"/>
    <s v="3. designer doesn't become a bottleneck"/>
    <s v="Avoiding UX/UI bottlenecks"/>
    <x v="28"/>
    <s v="Design–Development Alignment"/>
  </r>
  <r>
    <n v="3017"/>
    <s v="User stories lacking user value orientation"/>
    <s v="User Story Issues"/>
    <s v="Scrum"/>
    <s v="Not mentioned"/>
    <s v="Not mentioned"/>
    <s v="Lack of independence and value delivery issues"/>
    <s v="Product &amp; Value Effects"/>
    <s v="4. focusing on development effort rather than analysis, UI design, and testing."/>
    <s v="Balancing development with analysis, design, and testing"/>
    <x v="15"/>
    <s v="Quality Assurance"/>
  </r>
  <r>
    <n v="354302"/>
    <s v="Process/workflow issues around user stories"/>
    <s v="User Story related Issues"/>
    <s v="Not mentioned"/>
    <s v="Not mentioned"/>
    <s v="Not mentioned"/>
    <s v="Communication and collaboration issues"/>
    <s v="Human &amp; Social Effects"/>
    <s v="2 - break down user stories into tasks"/>
    <s v="Breaking down user stories into tasks"/>
    <x v="29"/>
    <s v="Work Structuring"/>
  </r>
  <r>
    <n v="240325"/>
    <s v="User stories framed as solutions or technical tasks"/>
    <s v="User Story Issues"/>
    <s v="Scrum"/>
    <s v="Sprint"/>
    <s v="Not mentioned"/>
    <s v="Organizational and backlog management issues"/>
    <s v="Organizational &amp; Management Effects"/>
    <s v="4. breaking use-case into smaller end-to-end features for quicker feedback."/>
    <s v="Breaking use cases into smaller end-to-end features"/>
    <x v="30"/>
    <s v="Work Structuring"/>
  </r>
  <r>
    <n v="26673"/>
    <s v="Poor decomposition and granularity of user stories"/>
    <s v="User Story Issues"/>
    <s v="Scrum"/>
    <s v="Not mentioned"/>
    <s v="Team"/>
    <s v="Lack of independence and value delivery issues"/>
    <s v="Product &amp; Value Effects"/>
    <s v="9. Break down work into independent, enabling increments."/>
    <s v="Breaking work into independent enabling increments"/>
    <x v="31"/>
    <s v="Work Structuring"/>
  </r>
  <r>
    <n v="232488"/>
    <s v="User stories lacking user value orientation"/>
    <s v="User Story Issues"/>
    <s v="Scrum"/>
    <s v="Sprint Planning"/>
    <s v="Not mentioned"/>
    <s v="Methodological inconsistency"/>
    <s v="Process &amp; Workflow Effects"/>
    <s v="1. value not measured only in lines of shippable code."/>
    <s v="Broadening definition of value"/>
    <x v="32"/>
    <s v="Value Orientation"/>
  </r>
  <r>
    <n v="354302"/>
    <s v="Process/workflow issues around user stories"/>
    <s v="User Story related Issues"/>
    <s v="Not mentioned"/>
    <s v="Not mentioned"/>
    <s v="Not mentioned"/>
    <s v="Communication and collaboration issues"/>
    <s v="Human &amp; Social Effects"/>
    <s v="1 - user story is not the same as a requirement"/>
    <s v="Clarifying distinction between user stories and requirements"/>
    <x v="33"/>
    <s v="Requirements Understanding"/>
  </r>
  <r>
    <n v="118123"/>
    <s v="Difficulties in estimating user stories"/>
    <s v="User Story related Issues"/>
    <s v="Scrum"/>
    <s v="Not mentioned"/>
    <s v="Not mentioned"/>
    <s v="Estimation uncertainty and inaccuracy"/>
    <s v="Planning &amp; Estimation Effects"/>
    <s v="1. Different purposes explain the poor correlation."/>
    <s v="Clarifying estimation purpose and interpretation"/>
    <x v="12"/>
    <s v="Effort Estimation &amp; Planning"/>
  </r>
  <r>
    <n v="194180"/>
    <s v="Lack of clarity and completeness in user stories"/>
    <s v="User Story Issues"/>
    <s v="XP"/>
    <s v="Not mentioned"/>
    <s v="Not mentioned"/>
    <s v="Estimation uncertainty and inaccuracy"/>
    <s v="Planning &amp; Estimation Effects"/>
    <s v="1. fill in those blanks as early as possible"/>
    <s v="Clarifying requirements early"/>
    <x v="20"/>
    <s v="Requirements Understanding"/>
  </r>
  <r>
    <n v="194180"/>
    <s v="Lack of clarity and completeness in user stories"/>
    <s v="User Story Issues"/>
    <s v="XP"/>
    <s v="Not mentioned"/>
    <s v="Not mentioned"/>
    <s v="Estimation uncertainty and inaccuracy"/>
    <s v="Planning &amp; Estimation Effects"/>
    <s v="2. Clarify requirements through questioning and rapid prototyping"/>
    <s v="Clarifying requirements through questioning and prototyping"/>
    <x v="20"/>
    <s v="Requirements Understanding"/>
  </r>
  <r>
    <n v="228110"/>
    <s v="Poor decomposition and granularity of user stories"/>
    <s v="User Story Issues"/>
    <s v="Not mentioned"/>
    <s v="Not mentioned"/>
    <s v="Not mentioned"/>
    <s v="Lack of independence and value delivery issues"/>
    <s v="Product &amp; Value Effects"/>
    <s v="1. distinguishing between slicing by individual vs team responsibilities."/>
    <s v="Clarifying slicing strategy and team responsibilities"/>
    <x v="34"/>
    <s v="Requirements Understanding"/>
  </r>
  <r>
    <n v="127213"/>
    <s v="Lack of clarity and completeness in user stories"/>
    <s v="User Story Issues"/>
    <s v="Not mentioned"/>
    <s v="Not mentioned"/>
    <s v="Product owner"/>
    <s v="Misalignment with goals and prioritization"/>
    <s v="Product &amp; Value Effects"/>
    <s v="9. Clarify vague stories by explicitly stating the user benefit."/>
    <s v="Clarifying user value in stories"/>
    <x v="13"/>
    <s v="Value Orientation"/>
  </r>
  <r>
    <n v="240325"/>
    <s v="User stories framed as solutions or technical tasks"/>
    <s v="User Story Issues"/>
    <s v="Scrum"/>
    <s v="Sprint"/>
    <s v="Not mentioned"/>
    <s v="Organizational and backlog management issues"/>
    <s v="Organizational &amp; Management Effects"/>
    <s v="1. front-end and back-end as a single story."/>
    <s v="Combining front-end and back-end into end-to-end stories"/>
    <x v="30"/>
    <s v="Work Structuring"/>
  </r>
  <r>
    <n v="403583"/>
    <s v="Difficulties in estimating user stories"/>
    <s v="User Story related Issues"/>
    <s v="Scrum"/>
    <s v="Planning"/>
    <s v="Not mentioned"/>
    <s v="Estimation uncertainty and inaccuracy"/>
    <s v="Planning &amp; Estimation Effects"/>
    <s v="3. estimate how long it would take to do that particular chunk of work"/>
    <s v="Considering task-level time estimation alongside story-level estimation"/>
    <x v="35"/>
    <s v="Effort Estimation &amp; Planning"/>
  </r>
  <r>
    <n v="118123"/>
    <s v="Difficulties in estimating user stories"/>
    <s v="User Story related Issues"/>
    <s v="Scrum"/>
    <s v="Not mentioned"/>
    <s v="Not mentioned"/>
    <s v="Estimation uncertainty and inaccuracy"/>
    <s v="Planning &amp; Estimation Effects"/>
    <s v="2. 2: Assigning tasks based on the developer's skill level."/>
    <s v="Considering team skills in task assignment and estimation"/>
    <x v="36"/>
    <s v="Collaboration &amp; Alignment"/>
  </r>
  <r>
    <n v="232488"/>
    <s v="User stories lacking user value orientation"/>
    <s v="User Story Issues"/>
    <s v="Scrum"/>
    <s v="Sprint Planning"/>
    <s v="Not mentioned"/>
    <s v="Methodological inconsistency"/>
    <s v="Process &amp; Workflow Effects"/>
    <s v="7. inspecting and adapting frequently while addressing dysfunctions."/>
    <s v="Continuous improvement practices"/>
    <x v="18"/>
    <s v="Continuous Learning"/>
  </r>
  <r>
    <n v="22001"/>
    <s v="Poor decomposition and granularity of user stories"/>
    <s v="User Story Issues"/>
    <s v="Not mentioned"/>
    <s v="Not mentioned"/>
    <s v="Not mentioned"/>
    <s v="Difficulty in decomposition and task structuring"/>
    <s v="Structural &amp; Quality Effects"/>
    <s v="7. convert big story to an epic"/>
    <s v="Converting large stories into epics"/>
    <x v="37"/>
    <s v="Work Structuring"/>
  </r>
  <r>
    <n v="22001"/>
    <s v="Poor decomposition and granularity of user stories"/>
    <s v="User Story Issues"/>
    <s v="Not mentioned"/>
    <s v="Not mentioned"/>
    <s v="Not mentioned"/>
    <s v="Difficulty in decomposition and task structuring"/>
    <s v="Structural &amp; Quality Effects"/>
    <s v="11. Story is too big, you may also convert it to an Epic and add Stories to them."/>
    <s v="Converting large stories into epics"/>
    <x v="37"/>
    <s v="Work Structuring"/>
  </r>
  <r>
    <n v="398317"/>
    <s v="User stories lacking user value orientation"/>
    <s v="User Story Issues"/>
    <s v="Not mentioned"/>
    <s v="Not mentioned"/>
    <s v="Not mentioned"/>
    <s v="Lack of independence and value delivery issues"/>
    <s v="Product &amp; Value Effects"/>
    <s v="2. stand alone story for the person who needs to look at the audit data"/>
    <s v="Creating standalone value-driven stories"/>
    <x v="38"/>
    <s v="Value Orientation"/>
  </r>
  <r>
    <n v="25714"/>
    <s v="Difficulties in estimating user stories"/>
    <s v="User Story related Issues"/>
    <s v="Scrum"/>
    <s v="Sprint"/>
    <s v="Not mentioned"/>
    <s v="Estimation uncertainty and inaccuracy"/>
    <s v="Planning &amp; Estimation Effects"/>
    <s v="6. apply the same measures you use when developing the code"/>
    <s v="Decomposing large stories into smaller units"/>
    <x v="39"/>
    <s v="Work Structuring"/>
  </r>
  <r>
    <n v="30061"/>
    <s v="Poorly defined or missing acceptance criteria"/>
    <s v="User Story Issues"/>
    <s v="Not mentioned"/>
    <s v="Release Planning"/>
    <s v="Not mentioned"/>
    <s v="Estimation uncertainty and inaccuracy"/>
    <s v="Planning &amp; Estimation Effects"/>
    <s v="3. split large work items into finer details"/>
    <s v="Decomposing large work items into finer-grained items"/>
    <x v="27"/>
    <s v="Work Structuring"/>
  </r>
  <r>
    <n v="194180"/>
    <s v="Lack of clarity and completeness in user stories"/>
    <s v="User Story Issues"/>
    <s v="XP"/>
    <s v="Not mentioned"/>
    <s v="Not mentioned"/>
    <s v="Estimation uncertainty and inaccuracy"/>
    <s v="Planning &amp; Estimation Effects"/>
    <s v="3. keep the stories as small as possible"/>
    <s v="Decomposing user stories into smaller units"/>
    <x v="39"/>
    <s v="Work Structuring"/>
  </r>
  <r>
    <n v="127213"/>
    <s v="Lack of clarity and completeness in user stories"/>
    <s v="User Story Issues"/>
    <s v="Not mentioned"/>
    <s v="Not mentioned"/>
    <s v="Product owner"/>
    <s v="Misalignment with goals and prioritization"/>
    <s v="Product &amp; Value Effects"/>
    <s v="6. splitting epics into smaller stories for better estimation."/>
    <s v="Decomposing user stories into smaller units"/>
    <x v="39"/>
    <s v="Work Structuring"/>
  </r>
  <r>
    <n v="147937"/>
    <s v="Lack of clarity and completeness in user stories"/>
    <s v="User Story Issues"/>
    <s v="Not mentioned"/>
    <s v="Not mentioned"/>
    <s v="Team"/>
    <s v="Estimation uncertainty and inaccuracy"/>
    <s v="Planning &amp; Estimation Effects"/>
    <s v="1. breaking large user story into smaller stories delivering minimum value quickly."/>
    <s v="Decomposing user stories into smaller units"/>
    <x v="39"/>
    <s v="Work Structuring"/>
  </r>
  <r>
    <n v="147937"/>
    <s v="Lack of clarity and completeness in user stories"/>
    <s v="User Story Issues"/>
    <s v="Not mentioned"/>
    <s v="Not mentioned"/>
    <s v="Team"/>
    <s v="Estimation uncertainty and inaccuracy"/>
    <s v="Planning &amp; Estimation Effects"/>
    <s v="2. breaking down stories with 8 or more points into smaller stories."/>
    <s v="Decomposing user stories into smaller units"/>
    <x v="39"/>
    <s v="Work Structuring"/>
  </r>
  <r>
    <n v="31614"/>
    <s v="UX/UI integration challenges around user stories"/>
    <s v="User Story related Issues"/>
    <s v="Scrum"/>
    <s v="Sprint Planning"/>
    <s v="Not mentioned"/>
    <s v="Workflow disruption and delivery blockage"/>
    <s v="Process &amp; Workflow Effects"/>
    <s v="14. break it down into smaller pieces"/>
    <s v="Decomposing UX/UI work into smaller pieces"/>
    <x v="40"/>
    <s v="Design–Development Alignment"/>
  </r>
  <r>
    <n v="194180"/>
    <s v="Lack of clarity and completeness in user stories"/>
    <s v="User Story Issues"/>
    <s v="XP"/>
    <s v="Not mentioned"/>
    <s v="Not mentioned"/>
    <s v="Estimation uncertainty and inaccuracy"/>
    <s v="Planning &amp; Estimation Effects"/>
    <s v="12. split your work into parts and implement in iterations"/>
    <s v="Decomposing work and iterating incrementally"/>
    <x v="41"/>
    <s v="Work Structuring"/>
  </r>
  <r>
    <n v="20827"/>
    <s v="Rework and delivery issues caused by user story problems"/>
    <s v="User Story related Issues"/>
    <s v="Scrum"/>
    <s v="Sprint Planning"/>
    <s v="Not mentioned"/>
    <s v="Rework and future pressure"/>
    <s v="Human &amp; Social Effects"/>
    <s v="1. Iterative approach prioritizes high-value rework and enables faster delivery and feedback"/>
    <s v="Decomposing work into smaller pieces"/>
    <x v="27"/>
    <s v="Work Structuring"/>
  </r>
  <r>
    <n v="392860"/>
    <s v="Process/workflow issues around user stories"/>
    <s v="User Story related Issues"/>
    <s v="Scrum"/>
    <s v="Not mentioned"/>
    <s v="Not mentioned"/>
    <s v="Lack of independence and value delivery issues"/>
    <s v="Product &amp; Value Effects"/>
    <s v="2. break down the item into smaller pieces"/>
    <s v="Decomposing work into smaller pieces"/>
    <x v="27"/>
    <s v="Work Structuring"/>
  </r>
  <r>
    <n v="147937"/>
    <s v="Lack of clarity and completeness in user stories"/>
    <s v="User Story Issues"/>
    <s v="Not mentioned"/>
    <s v="Not mentioned"/>
    <s v="Team"/>
    <s v="Estimation uncertainty and inaccuracy"/>
    <s v="Planning &amp; Estimation Effects"/>
    <s v="6. estimating time only after accepting story into sprint.."/>
    <s v="Deferring estimation until readiness"/>
    <x v="42"/>
    <s v="Effort Estimation &amp; Planning"/>
  </r>
  <r>
    <n v="26673"/>
    <s v="Poor decomposition and granularity of user stories"/>
    <s v="User Story Issues"/>
    <s v="Scrum"/>
    <s v="Not mentioned"/>
    <s v="Team"/>
    <s v="Lack of independence and value delivery issues"/>
    <s v="Product &amp; Value Effects"/>
    <s v="6. delay creating the database as long as possible"/>
    <s v="Deferring technical decisions until necessary"/>
    <x v="8"/>
    <s v="Technical Foundations"/>
  </r>
  <r>
    <n v="147937"/>
    <s v="Lack of clarity and completeness in user stories"/>
    <s v="User Story Issues"/>
    <s v="Not mentioned"/>
    <s v="Not mentioned"/>
    <s v="Team"/>
    <s v="Estimation uncertainty and inaccuracy"/>
    <s v="Planning &amp; Estimation Effects"/>
    <s v="3. defining clear exit criteria for user stories."/>
    <s v="Defining clear acceptance criteria"/>
    <x v="23"/>
    <s v="Quality Assurance"/>
  </r>
  <r>
    <n v="240325"/>
    <s v="User stories framed as solutions or technical tasks"/>
    <s v="User Story Issues"/>
    <s v="Scrum"/>
    <s v="Sprint"/>
    <s v="Not mentioned"/>
    <s v="Organizational and backlog management issues"/>
    <s v="Organizational &amp; Management Effects"/>
    <s v="9. never calling story done until team agrees including testing."/>
    <s v="Defining completion through team agreement and testing"/>
    <x v="43"/>
    <s v="Quality Assurance"/>
  </r>
  <r>
    <n v="34041"/>
    <s v="Poorly defined or missing acceptance criteria"/>
    <s v="User Story Issues"/>
    <s v="Not mentioned"/>
    <s v="Not mentioned"/>
    <s v="Not mentioned"/>
    <s v="Quality assurance and validation issues"/>
    <s v="Structural &amp; Quality Effects"/>
    <s v="2. capture general rules that apply no matter the device"/>
    <s v="Defining device-independent acceptance criteria"/>
    <x v="23"/>
    <s v="Quality Assurance"/>
  </r>
  <r>
    <n v="3017"/>
    <s v="User stories lacking user value orientation"/>
    <s v="User Story Issues"/>
    <s v="Scrum"/>
    <s v="Not mentioned"/>
    <s v="Not mentioned"/>
    <s v="Lack of independence and value delivery issues"/>
    <s v="Product &amp; Value Effects"/>
    <s v="10. clear definition of DONE with decoupled presentation layer"/>
    <s v="Defining DoD with decoupled presentation layer"/>
    <x v="43"/>
    <s v="Quality Assurance"/>
  </r>
  <r>
    <n v="127213"/>
    <s v="Lack of clarity and completeness in user stories"/>
    <s v="User Story Issues"/>
    <s v="Not mentioned"/>
    <s v="Not mentioned"/>
    <s v="Product owner"/>
    <s v="Misalignment with goals and prioritization"/>
    <s v="Product &amp; Value Effects"/>
    <s v="8. writing high-level project goals beforehand."/>
    <s v="Defining high-level goals upfront"/>
    <x v="44"/>
    <s v="Requirements Understanding"/>
  </r>
  <r>
    <n v="31614"/>
    <s v="UX/UI integration challenges around user stories"/>
    <s v="User Story related Issues"/>
    <s v="Scrum"/>
    <s v="Sprint Planning"/>
    <s v="Not mentioned"/>
    <s v="Workflow disruption and delivery blockage"/>
    <s v="Process &amp; Workflow Effects"/>
    <s v="10. defining what is &quot;ready&quot; for sprint planning"/>
    <s v="Defining readiness criteria for UX/UI work"/>
    <x v="45"/>
    <s v="Design–Development Alignment"/>
  </r>
  <r>
    <n v="34041"/>
    <s v="Poorly defined or missing acceptance criteria"/>
    <s v="User Story Issues"/>
    <s v="Not mentioned"/>
    <s v="Not mentioned"/>
    <s v="Not mentioned"/>
    <s v="Quality assurance and validation issues"/>
    <s v="Structural &amp; Quality Effects"/>
    <s v="3. application needs to be responsive"/>
    <s v="Defining responsive behavior in acceptance criteria"/>
    <x v="23"/>
    <s v="Quality Assurance"/>
  </r>
  <r>
    <n v="26673"/>
    <s v="Poor decomposition and granularity of user stories"/>
    <s v="User Story Issues"/>
    <s v="Scrum"/>
    <s v="Not mentioned"/>
    <s v="Team"/>
    <s v="Lack of independence and value delivery issues"/>
    <s v="Product &amp; Value Effects"/>
    <s v="1. Avoid overbuilding by delivering only what is needed through vertical slices. "/>
    <s v="Delivering only necessary functionality through vertical slices"/>
    <x v="30"/>
    <s v="Work Structuring"/>
  </r>
  <r>
    <n v="14189"/>
    <s v="User stories lacking user value orientation"/>
    <s v="User Story Issues"/>
    <s v="Scrum"/>
    <s v="Not mentioned"/>
    <s v="Not mentioned"/>
    <s v="Lack of independence and value delivery issues"/>
    <s v="Product &amp; Value Effects"/>
    <s v="2. delivering small vertical slices of end-user value across architecture layers."/>
    <s v="Delivering vertical slices of value"/>
    <x v="30"/>
    <s v="Work Structuring"/>
  </r>
  <r>
    <n v="12641"/>
    <s v="User stories framed as solutions or technical tasks"/>
    <s v="User Story Issues"/>
    <s v="Not mentioned"/>
    <s v="Not mentioned"/>
    <s v="Not mentioned"/>
    <s v="Difficulty in decomposition and task structuring"/>
    <s v="Structural &amp; Quality Effects"/>
    <s v="2. issue tracking and task tracking as distinct activities."/>
    <s v="Distinguishing issue tracking from task tracking"/>
    <x v="46"/>
    <s v="Process Adaptation"/>
  </r>
  <r>
    <n v="22001"/>
    <s v="Poor decomposition and granularity of user stories"/>
    <s v="User Story Issues"/>
    <s v="Not mentioned"/>
    <s v="Not mentioned"/>
    <s v="Not mentioned"/>
    <s v="Difficulty in decomposition and task structuring"/>
    <s v="Structural &amp; Quality Effects"/>
    <s v="6. story is NOT the task"/>
    <s v="Distinguishing user stories from tasks"/>
    <x v="33"/>
    <s v="Requirements Understanding"/>
  </r>
  <r>
    <n v="398317"/>
    <s v="User stories lacking user value orientation"/>
    <s v="User Story Issues"/>
    <s v="Not mentioned"/>
    <s v="Not mentioned"/>
    <s v="Not mentioned"/>
    <s v="Lack of independence and value delivery issues"/>
    <s v="Product &amp; Value Effects"/>
    <s v="3. non functional requirement/DoD on any other stories"/>
    <s v="Embedding non-functional requirements in DoD"/>
    <x v="43"/>
    <s v="Quality Assurance"/>
  </r>
  <r>
    <n v="228110"/>
    <s v="Poor decomposition and granularity of user stories"/>
    <s v="User Story Issues"/>
    <s v="Not mentioned"/>
    <s v="Not mentioned"/>
    <s v="Not mentioned"/>
    <s v="Lack of independence and value delivery issues"/>
    <s v="Product &amp; Value Effects"/>
    <s v="5. full-stack developers enabling story execution by one person without pipelining."/>
    <s v="Enabling vertical slicing through full-stack skills"/>
    <x v="30"/>
    <s v="Work Structuring"/>
  </r>
  <r>
    <n v="228110"/>
    <s v="Poor decomposition and granularity of user stories"/>
    <s v="User Story Issues"/>
    <s v="Not mentioned"/>
    <s v="Not mentioned"/>
    <s v="Not mentioned"/>
    <s v="Lack of independence and value delivery issues"/>
    <s v="Product &amp; Value Effects"/>
    <s v="2. full-stack developers as most efficient way to work vertically with pair programming across layers."/>
    <s v="Enabling vertical slicing through full-stack skills and pair programming"/>
    <x v="30"/>
    <s v="Work Structuring"/>
  </r>
  <r>
    <n v="31614"/>
    <s v="UX/UI integration challenges around user stories"/>
    <s v="User Story related Issues"/>
    <s v="Scrum"/>
    <s v="Sprint Planning"/>
    <s v="Not mentioned"/>
    <s v="Workflow disruption and delivery blockage"/>
    <s v="Process &amp; Workflow Effects"/>
    <s v="13. devs to ask questions about parts of the design"/>
    <s v="Encouraging developer clarification of design"/>
    <x v="47"/>
    <s v="Design–Development Alignment"/>
  </r>
  <r>
    <n v="194180"/>
    <s v="Lack of clarity and completeness in user stories"/>
    <s v="User Story Issues"/>
    <s v="XP"/>
    <s v="Not mentioned"/>
    <s v="Not mentioned"/>
    <s v="Estimation uncertainty and inaccuracy"/>
    <s v="Planning &amp; Estimation Effects"/>
    <s v="9. developers also need to ask questions"/>
    <s v="Encouraging developers to ask clarifying questions"/>
    <x v="20"/>
    <s v="Requirements Understanding"/>
  </r>
  <r>
    <n v="194180"/>
    <s v="Lack of clarity and completeness in user stories"/>
    <s v="User Story Issues"/>
    <s v="XP"/>
    <s v="Not mentioned"/>
    <s v="Not mentioned"/>
    <s v="Estimation uncertainty and inaccuracy"/>
    <s v="Planning &amp; Estimation Effects"/>
    <s v="10. Developers must ask clarifying questions to understand requirements before implementation."/>
    <s v="Encouraging developers to ask clarifying questions"/>
    <x v="20"/>
    <s v="Requirements Understanding"/>
  </r>
  <r>
    <n v="8679"/>
    <s v="Lack of product/domain knowledge"/>
    <s v="User Story Issues"/>
    <s v="Scrum"/>
    <s v="Sprint Planning"/>
    <s v="Scrum Master"/>
    <s v="Workflow disruption and delivery blockage"/>
    <s v="Process &amp; Workflow Effects"/>
    <s v="2. all stories must be estimated."/>
    <s v="Enforcing consistent estimation practices"/>
    <x v="10"/>
    <s v="Effort Estimation &amp; Planning"/>
  </r>
  <r>
    <n v="232488"/>
    <s v="User stories lacking user value orientation"/>
    <s v="User Story Issues"/>
    <s v="Scrum"/>
    <s v="Sprint Planning"/>
    <s v="Not mentioned"/>
    <s v="Methodological inconsistency"/>
    <s v="Process &amp; Workflow Effects"/>
    <s v="3. scrum team must have all skills needed to create potentially releasable product."/>
    <s v="Ensuring cross-functional team skills"/>
    <x v="21"/>
    <s v="Collaboration &amp; Alignment"/>
  </r>
  <r>
    <n v="398317"/>
    <s v="User stories lacking user value orientation"/>
    <s v="User Story Issues"/>
    <s v="Not mentioned"/>
    <s v="Not mentioned"/>
    <s v="Not mentioned"/>
    <s v="Lack of independence and value delivery issues"/>
    <s v="Product &amp; Value Effects"/>
    <s v="1. each story should be valuable independently"/>
    <s v="Ensuring independent value per story"/>
    <x v="38"/>
    <s v="Value Orientation"/>
  </r>
  <r>
    <n v="23855"/>
    <s v="Process/workflow issues around user stories"/>
    <s v="User Story related Issues"/>
    <s v="Scrum"/>
    <s v="Sprint Planning"/>
    <s v="Not mentioned"/>
    <s v="Sprint instability and planning issues"/>
    <s v="Process &amp; Workflow Effects"/>
    <s v="3. having a good description of the tasks"/>
    <s v="Ensuring task clarity"/>
    <x v="29"/>
    <s v="Work Structuring"/>
  </r>
  <r>
    <n v="127213"/>
    <s v="Lack of clarity and completeness in user stories"/>
    <s v="User Story Issues"/>
    <s v="Not mentioned"/>
    <s v="Not mentioned"/>
    <s v="Product owner"/>
    <s v="Misalignment with goals and prioritization"/>
    <s v="Product &amp; Value Effects"/>
    <s v="12. checking if user story leads to meaningful and testable requirements."/>
    <s v="Ensuring user stories are testable and meaningful"/>
    <x v="19"/>
    <s v="Quality Assurance"/>
  </r>
  <r>
    <n v="127213"/>
    <s v="Lack of clarity and completeness in user stories"/>
    <s v="User Story Issues"/>
    <s v="Not mentioned"/>
    <s v="Not mentioned"/>
    <s v="Product owner"/>
    <s v="Misalignment with goals and prioritization"/>
    <s v="Product &amp; Value Effects"/>
    <s v="11. Stop writing value-less goals."/>
    <s v="Ensuring user stories provide value"/>
    <x v="13"/>
    <s v="Value Orientation"/>
  </r>
  <r>
    <n v="232488"/>
    <s v="User stories lacking user value orientation"/>
    <s v="User Story Issues"/>
    <s v="Scrum"/>
    <s v="Sprint Planning"/>
    <s v="Not mentioned"/>
    <s v="Methodological inconsistency"/>
    <s v="Process &amp; Workflow Effects"/>
    <s v="10. UX stories providing value to development team rather than final user."/>
    <s v="Ensuring UX stories deliver end-user value"/>
    <x v="13"/>
    <s v="Value Orientation"/>
  </r>
  <r>
    <n v="9878"/>
    <s v="Process/workflow issues around user stories"/>
    <s v="User Story related Issues"/>
    <s v="Scrum"/>
    <s v="Sprint Planning"/>
    <s v="Team"/>
    <s v="Organizational and backlog management issues"/>
    <s v="Organizational &amp; Management Effects"/>
    <s v="2. no invisible work - all non-feature stories managed from Product Backlog."/>
    <s v="Ensuring visibility of all work items"/>
    <x v="48"/>
    <s v="Process Adaptation"/>
  </r>
  <r>
    <n v="231273"/>
    <s v="User stories framed as solutions or technical tasks"/>
    <s v="User Story Issues"/>
    <s v="Not mentioned"/>
    <s v="Backlog refinament"/>
    <s v="Team"/>
    <s v="Loss of autonomy and professional degradation"/>
    <s v="Human &amp; Social Effects"/>
    <s v="3. working through project manager to get in meetings with customer to discuss requirements."/>
    <s v="Facilitating customer access through project management"/>
    <x v="49"/>
    <s v="Collaboration &amp; Alignment"/>
  </r>
  <r>
    <n v="392860"/>
    <s v="Process/workflow issues around user stories"/>
    <s v="User Story related Issues"/>
    <s v="Scrum"/>
    <s v="Not mentioned"/>
    <s v="Not mentioned"/>
    <s v="Lack of independence and value delivery issues"/>
    <s v="Product &amp; Value Effects"/>
    <s v="3. lean towards breaking it down"/>
    <s v="Favoring decomposition"/>
    <x v="27"/>
    <s v="Work Structuring"/>
  </r>
  <r>
    <n v="234758"/>
    <s v="UX/UI integration challenges around user stories"/>
    <s v="User Story related Issues"/>
    <s v="Not mentioned"/>
    <s v="Sprint Planning"/>
    <s v="Team"/>
    <s v="Estimation uncertainty and inaccuracy"/>
    <s v="Planning &amp; Estimation Effects"/>
    <s v="3. estimates only need to be consistent over time, not necessarily accurate."/>
    <s v="Focusing on consistency over accuracy in estimation"/>
    <x v="50"/>
    <s v="Effort Estimation &amp; Planning"/>
  </r>
  <r>
    <n v="147937"/>
    <s v="Lack of clarity and completeness in user stories"/>
    <s v="User Story Issues"/>
    <s v="Not mentioned"/>
    <s v="Not mentioned"/>
    <s v="Team"/>
    <s v="Estimation uncertainty and inaccuracy"/>
    <s v="Planning &amp; Estimation Effects"/>
    <s v="5. Prioritize customer-relevant details or avoid unnecessary technical specifics."/>
    <s v="Focusing on user-relevant details"/>
    <x v="51"/>
    <s v="Value Orientation"/>
  </r>
  <r>
    <n v="3017"/>
    <s v="User stories lacking user value orientation"/>
    <s v="User Story Issues"/>
    <s v="Scrum"/>
    <s v="Not mentioned"/>
    <s v="Not mentioned"/>
    <s v="Lack of independence and value delivery issues"/>
    <s v="Product &amp; Value Effects"/>
    <s v="7. Keep stories focused on business/user value, not development tasks."/>
    <s v="Focusing stories on business/user value"/>
    <x v="13"/>
    <s v="Value Orientation"/>
  </r>
  <r>
    <n v="354302"/>
    <s v="Process/workflow issues around user stories"/>
    <s v="User Story related Issues"/>
    <s v="Not mentioned"/>
    <s v="Not mentioned"/>
    <s v="Not mentioned"/>
    <s v="Communication and collaboration issues"/>
    <s v="Human &amp; Social Effects"/>
    <s v="4 - avoid shortcuts through the process"/>
    <s v="Following disciplined Agile process"/>
    <x v="1"/>
    <s v="Process Adaptation"/>
  </r>
  <r>
    <n v="228110"/>
    <s v="Poor decomposition and granularity of user stories"/>
    <s v="User Story Issues"/>
    <s v="Not mentioned"/>
    <s v="Not mentioned"/>
    <s v="Not mentioned"/>
    <s v="Lack of independence and value delivery issues"/>
    <s v="Product &amp; Value Effects"/>
    <s v="6. tolerating pipelining initially while building trust through pair programming across layers."/>
    <s v="Gradually transitioning toward vertical slicing through trust-building practices"/>
    <x v="30"/>
    <s v="Work Structuring"/>
  </r>
  <r>
    <n v="25714"/>
    <s v="Difficulties in estimating user stories"/>
    <s v="User Story related Issues"/>
    <s v="Scrum"/>
    <s v="Sprint"/>
    <s v="Not mentioned"/>
    <s v="Estimation uncertainty and inaccuracy"/>
    <s v="Planning &amp; Estimation Effects"/>
    <s v="3. backlog items should be close-ended"/>
    <s v="Improving backlog structuring practices"/>
    <x v="52"/>
    <s v="Process Adaptation"/>
  </r>
  <r>
    <n v="25714"/>
    <s v="Difficulties in estimating user stories"/>
    <s v="User Story related Issues"/>
    <s v="Scrum"/>
    <s v="Sprint"/>
    <s v="Not mentioned"/>
    <s v="Estimation uncertainty and inaccuracy"/>
    <s v="Planning &amp; Estimation Effects"/>
    <s v="4. Prioritize early value delivery over complete or perfect solutions"/>
    <s v="Improving backlog structuring practices"/>
    <x v="52"/>
    <s v="Process Adaptation"/>
  </r>
  <r>
    <n v="147937"/>
    <s v="Lack of clarity and completeness in user stories"/>
    <s v="User Story Issues"/>
    <s v="Not mentioned"/>
    <s v="Not mentioned"/>
    <s v="Team"/>
    <s v="Estimation uncertainty and inaccuracy"/>
    <s v="Planning &amp; Estimation Effects"/>
    <s v="9. better communication and training for reasonable deadlines."/>
    <s v="Improving communication and training"/>
    <x v="53"/>
    <s v="Collaboration &amp; Alignment"/>
  </r>
  <r>
    <n v="8679"/>
    <s v="Lack of product/domain knowledge"/>
    <s v="User Story Issues"/>
    <s v="Scrum"/>
    <s v="Sprint Planning"/>
    <s v="Scrum Master"/>
    <s v="Workflow disruption and delivery blockage"/>
    <s v="Process &amp; Workflow Effects"/>
    <s v="10. sprint planning meetings on video for better communication."/>
    <s v="Improving communication in distributed teams"/>
    <x v="53"/>
    <s v="Collaboration &amp; Alignment"/>
  </r>
  <r>
    <n v="315641"/>
    <s v="Difficulties in estimating user stories"/>
    <s v="User Story related Issues"/>
    <s v="Scrum"/>
    <s v="Sprint Planning"/>
    <s v="Not mentioned"/>
    <s v="Workflow disruption and delivery blockage"/>
    <s v="Process &amp; Workflow Effects"/>
    <s v="1. Dev and testing overlap challenges story completion within a sprint."/>
    <s v="Improving coordination between development and testing"/>
    <x v="15"/>
    <s v="Quality Assurance"/>
  </r>
  <r>
    <n v="8679"/>
    <s v="Lack of product/domain knowledge"/>
    <s v="User Story Issues"/>
    <s v="Scrum"/>
    <s v="Sprint Planning"/>
    <s v="Scrum Master"/>
    <s v="Workflow disruption and delivery blockage"/>
    <s v="Process &amp; Workflow Effects"/>
    <s v="1. increasing estimate accuracy with PO participation, training, documentation, and spikes."/>
    <s v="Improving domain knowledge through stakeholder involvement, training, and exploratory work"/>
    <x v="49"/>
    <s v="Collaboration &amp; Alignment"/>
  </r>
  <r>
    <n v="31666"/>
    <s v="Process/workflow issues around user stories"/>
    <s v="User Story related Issues"/>
    <s v="Scrum"/>
    <s v="Sprint"/>
    <s v="Not mentioned"/>
    <s v="Sprint instability and planning issues"/>
    <s v="Process &amp; Workflow Effects"/>
    <s v="1. improve your estimations to take that into account"/>
    <s v="Improving estimation practices"/>
    <x v="10"/>
    <s v="Effort Estimation &amp; Planning"/>
  </r>
  <r>
    <n v="8679"/>
    <s v="Lack of product/domain knowledge"/>
    <s v="User Story Issues"/>
    <s v="Scrum"/>
    <s v="Sprint Planning"/>
    <s v="Scrum Master"/>
    <s v="Workflow disruption and delivery blockage"/>
    <s v="Process &amp; Workflow Effects"/>
    <s v="3. estimates as accurate as possible within sprint planning time-box."/>
    <s v="Improving estimation practices within Agile constraints"/>
    <x v="10"/>
    <s v="Effort Estimation &amp; Planning"/>
  </r>
  <r>
    <n v="7953"/>
    <s v="Process/workflow issues around user stories"/>
    <s v="User Story related Issues"/>
    <s v="Scrum"/>
    <s v="Sprint Planning"/>
    <s v="Not mentioned"/>
    <s v="Communication and collaboration issues"/>
    <s v="Human &amp; Social Effects"/>
    <s v="1. demonstrating value of sharing user stories by simulating team member removal."/>
    <s v="Improving knowledge sharing"/>
    <x v="54"/>
    <s v="Collaboration &amp; Alignment"/>
  </r>
  <r>
    <n v="25714"/>
    <s v="Difficulties in estimating user stories"/>
    <s v="User Story related Issues"/>
    <s v="Scrum"/>
    <s v="Sprint"/>
    <s v="Not mentioned"/>
    <s v="Estimation uncertainty and inaccuracy"/>
    <s v="Planning &amp; Estimation Effects"/>
    <s v="8. focus on the minimum viable"/>
    <s v="Improving requirement understanding"/>
    <x v="20"/>
    <s v="Requirements Understanding"/>
  </r>
  <r>
    <n v="127213"/>
    <s v="Lack of clarity and completeness in user stories"/>
    <s v="User Story Issues"/>
    <s v="Not mentioned"/>
    <s v="Not mentioned"/>
    <s v="Product owner"/>
    <s v="Misalignment with goals and prioritization"/>
    <s v="Product &amp; Value Effects"/>
    <s v="15. practicing requirement engineering to improve over time."/>
    <s v="Improving requirements engineering practices"/>
    <x v="55"/>
    <s v="Requirements Understanding"/>
  </r>
  <r>
    <n v="147937"/>
    <s v="Lack of clarity and completeness in user stories"/>
    <s v="User Story Issues"/>
    <s v="Not mentioned"/>
    <s v="Not mentioned"/>
    <s v="Team"/>
    <s v="Estimation uncertainty and inaccuracy"/>
    <s v="Planning &amp; Estimation Effects"/>
    <s v="7. Train PMs that vague stories lead to higher estimates and rework."/>
    <s v="Improving stakeholder awareness and training"/>
    <x v="56"/>
    <s v="Requirements Understanding"/>
  </r>
  <r>
    <n v="147937"/>
    <s v="Lack of clarity and completeness in user stories"/>
    <s v="User Story Issues"/>
    <s v="Not mentioned"/>
    <s v="Not mentioned"/>
    <s v="Team"/>
    <s v="Estimation uncertainty and inaccuracy"/>
    <s v="Planning &amp; Estimation Effects"/>
    <s v="8. good client services department knowing product and client."/>
    <s v="Improving stakeholder/domain knowledge"/>
    <x v="57"/>
    <s v="Requirements Understanding"/>
  </r>
  <r>
    <n v="354302"/>
    <s v="Process/workflow issues around user stories"/>
    <s v="User Story related Issues"/>
    <s v="Not mentioned"/>
    <s v="Not mentioned"/>
    <s v="Not mentioned"/>
    <s v="Communication and collaboration issues"/>
    <s v="Human &amp; Social Effects"/>
    <s v="5 5 - improve understanding of differences between requirements and user stories"/>
    <s v="Improving understanding of Agile concepts"/>
    <x v="1"/>
    <s v="Process Adaptation"/>
  </r>
  <r>
    <n v="8679"/>
    <s v="Lack of product/domain knowledge"/>
    <s v="User Story Issues"/>
    <s v="Scrum"/>
    <s v="Sprint Planning"/>
    <s v="Scrum Master"/>
    <s v="Workflow disruption and delivery blockage"/>
    <s v="Process &amp; Workflow Effects"/>
    <s v="11. stories with clear list of testable acceptance criteria."/>
    <s v="Improving user story quality through clear and testable acceptance criteria"/>
    <x v="23"/>
    <s v="Quality Assurance"/>
  </r>
  <r>
    <n v="127213"/>
    <s v="Lack of clarity and completeness in user stories"/>
    <s v="User Story Issues"/>
    <s v="Not mentioned"/>
    <s v="Not mentioned"/>
    <s v="Product owner"/>
    <s v="Misalignment with goals and prioritization"/>
    <s v="Product &amp; Value Effects"/>
    <s v="4. bad user stories can be reworked to improve quality."/>
    <s v="Improving user story quality through refinement"/>
    <x v="58"/>
    <s v="Quality Assurance"/>
  </r>
  <r>
    <n v="315641"/>
    <s v="Difficulties in estimating user stories"/>
    <s v="User Story related Issues"/>
    <s v="Scrum"/>
    <s v="Sprint Planning"/>
    <s v="Not mentioned"/>
    <s v="Workflow disruption and delivery blockage"/>
    <s v="Process &amp; Workflow Effects"/>
    <s v="2. Well-specified stories enable developers to complete and validate work independently."/>
    <s v="Improving user story quality to support estimation"/>
    <x v="58"/>
    <s v="Quality Assurance"/>
  </r>
  <r>
    <n v="3017"/>
    <s v="User stories lacking user value orientation"/>
    <s v="User Story Issues"/>
    <s v="Scrum"/>
    <s v="Not mentioned"/>
    <s v="Not mentioned"/>
    <s v="Lack of independence and value delivery issues"/>
    <s v="Product &amp; Value Effects"/>
    <s v="3. design is part of definition of ready."/>
    <s v="Including design in Definition of Ready"/>
    <x v="59"/>
    <s v="Design–Development Alignment"/>
  </r>
  <r>
    <n v="240325"/>
    <s v="User stories framed as solutions or technical tasks"/>
    <s v="User Story Issues"/>
    <s v="Scrum"/>
    <s v="Sprint"/>
    <s v="Not mentioned"/>
    <s v="Organizational and backlog management issues"/>
    <s v="Organizational &amp; Management Effects"/>
    <s v="3. including QA-assigned tasks in the same story."/>
    <s v="Including QA tasks within the same story"/>
    <x v="19"/>
    <s v="Quality Assurance"/>
  </r>
  <r>
    <n v="31614"/>
    <s v="UX/UI integration challenges around user stories"/>
    <s v="User Story related Issues"/>
    <s v="Scrum"/>
    <s v="Sprint Planning"/>
    <s v="Not mentioned"/>
    <s v="Workflow disruption and delivery blockage"/>
    <s v="Process &amp; Workflow Effects"/>
    <s v="11. Consider the UX/UI designer as part of the SCRUM team"/>
    <s v="Including UX/UI designers in Scrum team"/>
    <x v="60"/>
    <s v="Design–Development Alignment"/>
  </r>
  <r>
    <n v="8679"/>
    <s v="Lack of product/domain knowledge"/>
    <s v="User Story Issues"/>
    <s v="Scrum"/>
    <s v="Sprint Planning"/>
    <s v="Scrum Master"/>
    <s v="Workflow disruption and delivery blockage"/>
    <s v="Process &amp; Workflow Effects"/>
    <s v="4. estimates should include uncertainty."/>
    <s v="Incorporating uncertainty into estimation"/>
    <x v="61"/>
    <s v="Effort Estimation &amp; Planning"/>
  </r>
  <r>
    <n v="231273"/>
    <s v="User stories framed as solutions or technical tasks"/>
    <s v="User Story Issues"/>
    <s v="Not mentioned"/>
    <s v="Backlog refinament"/>
    <s v="Team"/>
    <s v="Loss of autonomy and professional degradation"/>
    <s v="Human &amp; Social Effects"/>
    <s v="1. talking directly to customers and end users."/>
    <s v="Increasing direct customer and end-user communication"/>
    <x v="49"/>
    <s v="Collaboration &amp; Alignment"/>
  </r>
  <r>
    <n v="194180"/>
    <s v="Lack of clarity and completeness in user stories"/>
    <s v="User Story Issues"/>
    <s v="XP"/>
    <s v="Not mentioned"/>
    <s v="Not mentioned"/>
    <s v="Estimation uncertainty and inaccuracy"/>
    <s v="Planning &amp; Estimation Effects"/>
    <s v="4. get user feedback even more early"/>
    <s v="Increasing early stakeholder feedback"/>
    <x v="49"/>
    <s v="Collaboration &amp; Alignment"/>
  </r>
  <r>
    <n v="147937"/>
    <s v="Lack of clarity and completeness in user stories"/>
    <s v="User Story Issues"/>
    <s v="Not mentioned"/>
    <s v="Not mentioned"/>
    <s v="Team"/>
    <s v="Estimation uncertainty and inaccuracy"/>
    <s v="Planning &amp; Estimation Effects"/>
    <s v="4. minimizing lag time between development and client feedback through communication and training."/>
    <s v="Increasing early stakeholder feedback"/>
    <x v="49"/>
    <s v="Collaboration &amp; Alignment"/>
  </r>
  <r>
    <n v="25714"/>
    <s v="Difficulties in estimating user stories"/>
    <s v="User Story related Issues"/>
    <s v="Scrum"/>
    <s v="Sprint"/>
    <s v="Not mentioned"/>
    <s v="Estimation uncertainty and inaccuracy"/>
    <s v="Planning &amp; Estimation Effects"/>
    <s v="11. collect feedback early and often"/>
    <s v="Increasing stakeholder feedback frequency"/>
    <x v="49"/>
    <s v="Collaboration &amp; Alignment"/>
  </r>
  <r>
    <n v="27494"/>
    <s v="Lack of clarity and completeness in user stories"/>
    <s v="User Story Issues"/>
    <s v="Not mentioned"/>
    <s v="Sprint"/>
    <s v="Not mentioned"/>
    <s v="Rework and future pressure"/>
    <s v="Human &amp; Social Effects"/>
    <s v="3. work on getting your customer more involved"/>
    <s v="Increasing stakeholder involvement"/>
    <x v="49"/>
    <s v="Collaboration &amp; Alignment"/>
  </r>
  <r>
    <n v="354302"/>
    <s v="Process/workflow issues around user stories"/>
    <s v="User Story related Issues"/>
    <s v="Not mentioned"/>
    <s v="Not mentioned"/>
    <s v="Not mentioned"/>
    <s v="Communication and collaboration issues"/>
    <s v="Human &amp; Social Effects"/>
    <s v="8 8. do not eat the entire elephant in one bite"/>
    <s v="Incremental delivery mindset"/>
    <x v="17"/>
    <s v="Value Orientation"/>
  </r>
  <r>
    <n v="354302"/>
    <s v="Process/workflow issues around user stories"/>
    <s v="User Story related Issues"/>
    <s v="Not mentioned"/>
    <s v="Not mentioned"/>
    <s v="Not mentioned"/>
    <s v="Communication and collaboration issues"/>
    <s v="Human &amp; Social Effects"/>
    <s v="9. Break down large features into incremental, deliverable pieces."/>
    <s v="Incremental feature decomposition"/>
    <x v="62"/>
    <s v="Work Structuring"/>
  </r>
  <r>
    <n v="3017"/>
    <s v="User stories lacking user value orientation"/>
    <s v="User Story Issues"/>
    <s v="Scrum"/>
    <s v="Not mentioned"/>
    <s v="Not mentioned"/>
    <s v="Lack of independence and value delivery issues"/>
    <s v="Product &amp; Value Effects"/>
    <s v="1. design work done in sprint."/>
    <s v="Integrating design work within sprint"/>
    <x v="63"/>
    <s v="Design–Development Alignment"/>
  </r>
  <r>
    <n v="25637"/>
    <s v="Process/workflow issues around user stories"/>
    <s v="User Story related Issues"/>
    <s v="Not mentioned"/>
    <s v="Sprint"/>
    <s v="Not mentioned"/>
    <s v="Quality assurance and validation issues"/>
    <s v="Structural &amp; Quality Effects"/>
    <s v="1. QA must be complete to call a user story done"/>
    <s v="Integrating QA into Definition of Done"/>
    <x v="43"/>
    <s v="Quality Assurance"/>
  </r>
  <r>
    <n v="25637"/>
    <s v="Process/workflow issues around user stories"/>
    <s v="User Story related Issues"/>
    <s v="Not mentioned"/>
    <s v="Sprint"/>
    <s v="Not mentioned"/>
    <s v="Quality assurance and validation issues"/>
    <s v="Structural &amp; Quality Effects"/>
    <s v="2. 2. QA must be part of DoD to mark stories as done."/>
    <s v="Integrating QA into Definition of Done"/>
    <x v="43"/>
    <s v="Quality Assurance"/>
  </r>
  <r>
    <n v="25637"/>
    <s v="Process/workflow issues around user stories"/>
    <s v="User Story related Issues"/>
    <s v="Not mentioned"/>
    <s v="Sprint"/>
    <s v="Not mentioned"/>
    <s v="Quality assurance and validation issues"/>
    <s v="Structural &amp; Quality Effects"/>
    <s v="3. bring in QA within your sprint and not as a separate stage"/>
    <s v="Integrating QA within sprint workflow"/>
    <x v="19"/>
    <s v="Quality Assurance"/>
  </r>
  <r>
    <n v="31614"/>
    <s v="UX/UI integration challenges around user stories"/>
    <s v="User Story related Issues"/>
    <s v="Scrum"/>
    <s v="Sprint Planning"/>
    <s v="Not mentioned"/>
    <s v="Workflow disruption and delivery blockage"/>
    <s v="Process &amp; Workflow Effects"/>
    <s v="5. UX/BA tasks are part of the sprint"/>
    <s v="Integrating UX/BA tasks within sprint"/>
    <x v="63"/>
    <s v="Design–Development Alignment"/>
  </r>
  <r>
    <n v="231273"/>
    <s v="User stories framed as solutions or technical tasks"/>
    <s v="User Story Issues"/>
    <s v="Not mentioned"/>
    <s v="Backlog refinament"/>
    <s v="Team"/>
    <s v="Loss of autonomy and professional degradation"/>
    <s v="Human &amp; Social Effects"/>
    <s v="2. getting involved earlier in the process after sales and with BAs."/>
    <s v="Involving developers earlier in the requirements process"/>
    <x v="64"/>
    <s v="Collaboration &amp; Alignment"/>
  </r>
  <r>
    <n v="8679"/>
    <s v="Lack of product/domain knowledge"/>
    <s v="User Story Issues"/>
    <s v="Scrum"/>
    <s v="Sprint Planning"/>
    <s v="Scrum Master"/>
    <s v="Workflow disruption and delivery blockage"/>
    <s v="Process &amp; Workflow Effects"/>
    <s v="9. SME participating in sprint planning to validate implementation approach."/>
    <s v="Involving domain experts (SMEs) in planning and decision-making"/>
    <x v="57"/>
    <s v="Requirements Understanding"/>
  </r>
  <r>
    <n v="14189"/>
    <s v="User stories lacking user value orientation"/>
    <s v="User Story Issues"/>
    <s v="Scrum"/>
    <s v="Not mentioned"/>
    <s v="Not mentioned"/>
    <s v="Lack of independence and value delivery issues"/>
    <s v="Product &amp; Value Effects"/>
    <s v="1. keeping dependent stories separate and delivering potentially shippable product."/>
    <s v="Keeping stories independent for delivery"/>
    <x v="38"/>
    <s v="Value Orientation"/>
  </r>
  <r>
    <n v="354302"/>
    <s v="Process/workflow issues around user stories"/>
    <s v="User Story related Issues"/>
    <s v="Not mentioned"/>
    <s v="Not mentioned"/>
    <s v="Not mentioned"/>
    <s v="Communication and collaboration issues"/>
    <s v="Human &amp; Social Effects"/>
    <s v="6 6 - learning from sprints and retrospectives"/>
    <s v="Learning through iterative cycles"/>
    <x v="18"/>
    <s v="Continuous Learning"/>
  </r>
  <r>
    <n v="7953"/>
    <s v="Process/workflow issues around user stories"/>
    <s v="User Story related Issues"/>
    <s v="Scrum"/>
    <s v="Sprint Planning"/>
    <s v="Not mentioned"/>
    <s v="Communication and collaboration issues"/>
    <s v="Human &amp; Social Effects"/>
    <s v="3. Leverage diverse team skills by involving multiple members in each story"/>
    <s v="Leveraging cross-functional collaboration"/>
    <x v="21"/>
    <s v="Collaboration &amp; Alignment"/>
  </r>
  <r>
    <n v="127213"/>
    <s v="Lack of clarity and completeness in user stories"/>
    <s v="User Story Issues"/>
    <s v="Not mentioned"/>
    <s v="Not mentioned"/>
    <s v="Product owner"/>
    <s v="Misalignment with goals and prioritization"/>
    <s v="Product &amp; Value Effects"/>
    <s v="13. Unplanned backlog more than 12 to 18 months in advance."/>
    <s v="Limiting long-term backlog planning"/>
    <x v="52"/>
    <s v="Process Adaptation"/>
  </r>
  <r>
    <n v="26673"/>
    <s v="Poor decomposition and granularity of user stories"/>
    <s v="User Story Issues"/>
    <s v="Scrum"/>
    <s v="Not mentioned"/>
    <s v="Team"/>
    <s v="Lack of independence and value delivery issues"/>
    <s v="Product &amp; Value Effects"/>
    <s v="7. keep it limited in scope"/>
    <s v="Limiting user story scope"/>
    <x v="24"/>
    <s v="Value Orientation"/>
  </r>
  <r>
    <n v="194180"/>
    <s v="Lack of clarity and completeness in user stories"/>
    <s v="User Story Issues"/>
    <s v="XP"/>
    <s v="Not mentioned"/>
    <s v="Not mentioned"/>
    <s v="Estimation uncertainty and inaccuracy"/>
    <s v="Planning &amp; Estimation Effects"/>
    <s v="8. user stories should not have a whole lot of detail"/>
    <s v="Maintaining appropriate level of abstraction in user stories"/>
    <x v="65"/>
    <s v="Requirements Understanding"/>
  </r>
  <r>
    <n v="354302"/>
    <s v="Process/workflow issues around user stories"/>
    <s v="User Story related Issues"/>
    <s v="Not mentioned"/>
    <s v="Not mentioned"/>
    <s v="Not mentioned"/>
    <s v="Communication and collaboration issues"/>
    <s v="Human &amp; Social Effects"/>
    <s v="3 - user stories focused on what and why, not how"/>
    <s v="Maintaining focus on what and why in user stories"/>
    <x v="51"/>
    <s v="Value Orientation"/>
  </r>
  <r>
    <n v="3017"/>
    <s v="User stories lacking user value orientation"/>
    <s v="User Story Issues"/>
    <s v="Scrum"/>
    <s v="Not mentioned"/>
    <s v="Not mentioned"/>
    <s v="Lack of independence and value delivery issues"/>
    <s v="Product &amp; Value Effects"/>
    <s v="6. keeping things easy to change for lightweight pre-sprint analysis."/>
    <s v="Maintaining lightweight and adaptable analysis"/>
    <x v="66"/>
    <s v="Requirements Understanding"/>
  </r>
  <r>
    <n v="14189"/>
    <s v="User stories lacking user value orientation"/>
    <s v="User Story Issues"/>
    <s v="Scrum"/>
    <s v="Not mentioned"/>
    <s v="Not mentioned"/>
    <s v="Lack of independence and value delivery issues"/>
    <s v="Product &amp; Value Effects"/>
    <s v="4. keeping stories separate."/>
    <s v="Maintaining story independence"/>
    <x v="38"/>
    <s v="Value Orientation"/>
  </r>
  <r>
    <n v="12641"/>
    <s v="User stories framed as solutions or technical tasks"/>
    <s v="User Story Issues"/>
    <s v="Not mentioned"/>
    <s v="Not mentioned"/>
    <s v="Not mentioned"/>
    <s v="Difficulty in decomposition and task structuring"/>
    <s v="Structural &amp; Quality Effects"/>
    <s v="1. maintaining relationship between task and parent user story to convey value to customer."/>
    <s v="Maintaining traceability between tasks and parent user stories"/>
    <x v="46"/>
    <s v="Process Adaptation"/>
  </r>
  <r>
    <n v="194180"/>
    <s v="Lack of clarity and completeness in user stories"/>
    <s v="User Story Issues"/>
    <s v="XP"/>
    <s v="Not mentioned"/>
    <s v="Not mentioned"/>
    <s v="Estimation uncertainty and inaccuracy"/>
    <s v="Planning &amp; Estimation Effects"/>
    <s v="13. treat user stories as abstract user requirements"/>
    <s v="Maintaining user stories as high-level requirements"/>
    <x v="33"/>
    <s v="Requirements Understanding"/>
  </r>
  <r>
    <n v="9878"/>
    <s v="Process/workflow issues around user stories"/>
    <s v="User Story related Issues"/>
    <s v="Scrum"/>
    <s v="Sprint Planning"/>
    <s v="Team"/>
    <s v="Organizational and backlog management issues"/>
    <s v="Organizational &amp; Management Effects"/>
    <s v="1. all work including bugs, training, and research managed from Product Backlog to avoid hidden costs."/>
    <s v="Managing all work through product backlog"/>
    <x v="48"/>
    <s v="Process Adaptation"/>
  </r>
  <r>
    <n v="41750"/>
    <s v="User stories lacking user value orientation"/>
    <s v="User Story Issues"/>
    <s v="Not mentioned"/>
    <s v="Not mentioned"/>
    <s v="Not mentioned"/>
    <s v="Estimation uncertainty and inaccuracy"/>
    <s v="Planning &amp; Estimation Effects"/>
    <s v="3. adding dependency points to first story and noting order of dependent stories."/>
    <s v="Managing dependencies explicitly"/>
    <x v="48"/>
    <s v="Process Adaptation"/>
  </r>
  <r>
    <n v="26673"/>
    <s v="Poor decomposition and granularity of user stories"/>
    <s v="User Story Issues"/>
    <s v="Scrum"/>
    <s v="Not mentioned"/>
    <s v="Team"/>
    <s v="Lack of independence and value delivery issues"/>
    <s v="Product &amp; Value Effects"/>
    <s v="10. Manage dependencies by linking backlog items to improve planning and scheduling"/>
    <s v="Managing dependencies through backlog linking"/>
    <x v="67"/>
    <s v="Process Adaptation"/>
  </r>
  <r>
    <n v="127300"/>
    <s v="User story writing improvement need"/>
    <s v="User Story Issues"/>
    <s v="Not mentioned"/>
    <s v="Not mentioned"/>
    <s v="Not mentioned"/>
    <s v="Misalignment with goals and prioritization"/>
    <s v="Product &amp; Value Effects"/>
    <s v="5. testable user stories with agreed success criteria."/>
    <s v="Managing estimation uncertainty through decomposition and adaptation"/>
    <x v="61"/>
    <s v="Effort Estimation &amp; Planning"/>
  </r>
  <r>
    <n v="8410"/>
    <s v="Difficulties in estimating user stories"/>
    <s v="User Story related Issues"/>
    <s v="Scrum"/>
    <s v="Sprint Planning"/>
    <s v="Not mentioned"/>
    <s v="Sprint instability and planning issues"/>
    <s v="Process &amp; Workflow Effects"/>
    <s v="1. Manage estimation uncertainty by removing outliers, decomposing disputed tasks, and adapting backlog dynamically "/>
    <s v="Managing estimation uncertainty through decomposition and adaptation"/>
    <x v="61"/>
    <s v="Effort Estimation &amp; Planning"/>
  </r>
  <r>
    <n v="8410"/>
    <s v="Difficulties in estimating user stories"/>
    <s v="User Story related Issues"/>
    <s v="Scrum"/>
    <s v="Sprint Planning"/>
    <s v="Not mentioned"/>
    <s v="Sprint instability and planning issues"/>
    <s v="Process &amp; Workflow Effects"/>
    <s v="2. Break down high-point stories to identify uncertainties and add research spikes"/>
    <s v="Managing estimation uncertainty through decomposition and exploratory work"/>
    <x v="61"/>
    <s v="Effort Estimation &amp; Planning"/>
  </r>
  <r>
    <n v="8410"/>
    <s v="Difficulties in estimating user stories"/>
    <s v="User Story related Issues"/>
    <s v="Scrum"/>
    <s v="Sprint Planning"/>
    <s v="Not mentioned"/>
    <s v="Sprint instability and planning issues"/>
    <s v="Process &amp; Workflow Effects"/>
    <s v="5. scheduling research story to build proof-of-concept before estimating."/>
    <s v="Managing estimation uncertainty through exploratory work"/>
    <x v="61"/>
    <s v="Effort Estimation &amp; Planning"/>
  </r>
  <r>
    <n v="228110"/>
    <s v="Poor decomposition and granularity of user stories"/>
    <s v="User Story Issues"/>
    <s v="Not mentioned"/>
    <s v="Not mentioned"/>
    <s v="Not mentioned"/>
    <s v="Lack of independence and value delivery issues"/>
    <s v="Product &amp; Value Effects"/>
    <s v="8. developing in isolation while logging technical debt and paying it back in hardening sprint."/>
    <s v="Managing technical debt during isolated development"/>
    <x v="68"/>
    <s v="Technical Foundations"/>
  </r>
  <r>
    <n v="31614"/>
    <s v="UX/UI integration challenges around user stories"/>
    <s v="User Story related Issues"/>
    <s v="Scrum"/>
    <s v="Sprint Planning"/>
    <s v="Not mentioned"/>
    <s v="Workflow disruption and delivery blockage"/>
    <s v="Process &amp; Workflow Effects"/>
    <s v="12. Consider the UX/UI designer as external to the SCRUM team"/>
    <s v="Managing UX/UI roles external to Scrum team when needed"/>
    <x v="60"/>
    <s v="Design–Development Alignment"/>
  </r>
  <r>
    <n v="234758"/>
    <s v="UX/UI integration challenges around user stories"/>
    <s v="User Story related Issues"/>
    <s v="Not mentioned"/>
    <s v="Sprint Planning"/>
    <s v="Team"/>
    <s v="Estimation uncertainty and inaccuracy"/>
    <s v="Planning &amp; Estimation Effects"/>
    <s v="1. doing UI design, coding, and testing in same sprint or splitting across sprints."/>
    <s v="Managing UX/UI work across or within sprints"/>
    <x v="63"/>
    <s v="Design–Development Alignment"/>
  </r>
  <r>
    <n v="23855"/>
    <s v="Process/workflow issues around user stories"/>
    <s v="User Story related Issues"/>
    <s v="Scrum"/>
    <s v="Sprint Planning"/>
    <s v="Not mentioned"/>
    <s v="Sprint instability and planning issues"/>
    <s v="Process &amp; Workflow Effects"/>
    <s v="1. Focus on backlog refinement and limiting WIP to avoid team overload"/>
    <s v="Managing WIP and backlog refinement"/>
    <x v="69"/>
    <s v="Process Adaptation"/>
  </r>
  <r>
    <n v="27494"/>
    <s v="Lack of clarity and completeness in user stories"/>
    <s v="User Story Issues"/>
    <s v="Not mentioned"/>
    <s v="Sprint"/>
    <s v="Not mentioned"/>
    <s v="Rework and future pressure"/>
    <s v="Human &amp; Social Effects"/>
    <s v="1. Maintain progress by switching to unblocked work"/>
    <s v="Managing workflow around blockers"/>
    <x v="70"/>
    <s v="Process Adaptation"/>
  </r>
  <r>
    <n v="31614"/>
    <s v="UX/UI integration challenges around user stories"/>
    <s v="User Story related Issues"/>
    <s v="Scrum"/>
    <s v="Sprint Planning"/>
    <s v="Not mentioned"/>
    <s v="Workflow disruption and delivery blockage"/>
    <s v="Process &amp; Workflow Effects"/>
    <s v="4. try to avoid waste"/>
    <s v="Minimizing waste in UX/UI processes"/>
    <x v="28"/>
    <s v="Design–Development Alignment"/>
  </r>
  <r>
    <n v="127213"/>
    <s v="Lack of clarity and completeness in user stories"/>
    <s v="User Story Issues"/>
    <s v="Not mentioned"/>
    <s v="Not mentioned"/>
    <s v="Product owner"/>
    <s v="Misalignment with goals and prioritization"/>
    <s v="Product &amp; Value Effects"/>
    <s v="7. continuous release planning and periodic backlog reviews."/>
    <s v="Performing continuous backlog refinement"/>
    <x v="52"/>
    <s v="Process Adaptation"/>
  </r>
  <r>
    <n v="18301"/>
    <s v="Process/workflow issues around user stories"/>
    <s v="User Story related Issues"/>
    <s v="Kanban"/>
    <s v="Not mentioned"/>
    <s v="Not mentioned"/>
    <s v="Delays/blockages due to tasks or dependencies"/>
    <s v="Process &amp; Workflow Effects"/>
    <s v="1. planning at task/story level instead of epic level to balance work and transition between epics."/>
    <s v="Planning at appropriate granularity level"/>
    <x v="14"/>
    <s v="Work Structuring"/>
  </r>
  <r>
    <n v="31614"/>
    <s v="UX/UI integration challenges around user stories"/>
    <s v="User Story related Issues"/>
    <s v="Scrum"/>
    <s v="Sprint Planning"/>
    <s v="Not mentioned"/>
    <s v="Workflow disruption and delivery blockage"/>
    <s v="Process &amp; Workflow Effects"/>
    <s v="6. job of UX is to prepare those tasks for developers"/>
    <s v="Preparing UX deliverables for development"/>
    <x v="40"/>
    <s v="Design–Development Alignment"/>
  </r>
  <r>
    <n v="26673"/>
    <s v="Poor decomposition and granularity of user stories"/>
    <s v="User Story Issues"/>
    <s v="Scrum"/>
    <s v="Not mentioned"/>
    <s v="Team"/>
    <s v="Lack of independence and value delivery issues"/>
    <s v="Product &amp; Value Effects"/>
    <s v="5. Do not introduce features beyond the scope of the user story"/>
    <s v="Preventing scope creep in user stories"/>
    <x v="24"/>
    <s v="Value Orientation"/>
  </r>
  <r>
    <n v="31666"/>
    <s v="Process/workflow issues around user stories"/>
    <s v="User Story related Issues"/>
    <s v="Scrum"/>
    <s v="Sprint"/>
    <s v="Not mentioned"/>
    <s v="Sprint instability and planning issues"/>
    <s v="Process &amp; Workflow Effects"/>
    <s v="9. make testing the focus"/>
    <s v="Prioritizing testing activities"/>
    <x v="15"/>
    <s v="Quality Assurance"/>
  </r>
  <r>
    <n v="25714"/>
    <s v="Difficulties in estimating user stories"/>
    <s v="User Story related Issues"/>
    <s v="Scrum"/>
    <s v="Sprint"/>
    <s v="Not mentioned"/>
    <s v="Estimation uncertainty and inaccuracy"/>
    <s v="Planning &amp; Estimation Effects"/>
    <s v="2. not everything in the backlog has to be a User Story"/>
    <s v="Prioritizing value-driven delivery"/>
    <x v="17"/>
    <s v="Value Orientation"/>
  </r>
  <r>
    <n v="25714"/>
    <s v="Difficulties in estimating user stories"/>
    <s v="User Story related Issues"/>
    <s v="Scrum"/>
    <s v="Sprint"/>
    <s v="Not mentioned"/>
    <s v="Estimation uncertainty and inaccuracy"/>
    <s v="Planning &amp; Estimation Effects"/>
    <s v="5. story too big to fit into a single iteration"/>
    <s v="Prioritizing value-driven delivery"/>
    <x v="17"/>
    <s v="Value Orientation"/>
  </r>
  <r>
    <n v="25714"/>
    <s v="Difficulties in estimating user stories"/>
    <s v="User Story related Issues"/>
    <s v="Scrum"/>
    <s v="Sprint"/>
    <s v="Not mentioned"/>
    <s v="Estimation uncertainty and inaccuracy"/>
    <s v="Planning &amp; Estimation Effects"/>
    <s v="9. iterate rapidly"/>
    <s v="Prioritizing value-driven delivery"/>
    <x v="17"/>
    <s v="Value Orientation"/>
  </r>
  <r>
    <n v="194180"/>
    <s v="Lack of clarity and completeness in user stories"/>
    <s v="User Story Issues"/>
    <s v="XP"/>
    <s v="Not mentioned"/>
    <s v="Not mentioned"/>
    <s v="Estimation uncertainty and inaccuracy"/>
    <s v="Planning &amp; Estimation Effects"/>
    <s v="7. good user stories are collaboratively written"/>
    <s v="Promoting collaborative user story writing"/>
    <x v="71"/>
    <s v="Collaboration &amp; Alignment"/>
  </r>
  <r>
    <n v="231273"/>
    <s v="User stories framed as solutions or technical tasks"/>
    <s v="User Story Issues"/>
    <s v="Not mentioned"/>
    <s v="Backlog refinament"/>
    <s v="Team"/>
    <s v="Loss of autonomy and professional degradation"/>
    <s v="Human &amp; Social Effects"/>
    <s v="5. direct and honest communication between development team and stakeholders."/>
    <s v="Promoting direct and honest stakeholder communication"/>
    <x v="53"/>
    <s v="Collaboration &amp; Alignment"/>
  </r>
  <r>
    <n v="31666"/>
    <s v="Process/workflow issues around user stories"/>
    <s v="User Story related Issues"/>
    <s v="Scrum"/>
    <s v="Sprint"/>
    <s v="Not mentioned"/>
    <s v="Sprint instability and planning issues"/>
    <s v="Process &amp; Workflow Effects"/>
    <s v="7. testing is not a necessary evil"/>
    <s v="Promoting positive testing mindset"/>
    <x v="15"/>
    <s v="Quality Assurance"/>
  </r>
  <r>
    <n v="194180"/>
    <s v="Lack of clarity and completeness in user stories"/>
    <s v="User Story Issues"/>
    <s v="XP"/>
    <s v="Not mentioned"/>
    <s v="Not mentioned"/>
    <s v="Estimation uncertainty and inaccuracy"/>
    <s v="Planning &amp; Estimation Effects"/>
    <s v="6. discuss your concerns with your fellow developers"/>
    <s v="Promoting team communication and collaboration"/>
    <x v="53"/>
    <s v="Collaboration &amp; Alignment"/>
  </r>
  <r>
    <n v="8679"/>
    <s v="Lack of product/domain knowledge"/>
    <s v="User Story Issues"/>
    <s v="Scrum"/>
    <s v="Sprint Planning"/>
    <s v="Scrum Master"/>
    <s v="Workflow disruption and delivery blockage"/>
    <s v="Process &amp; Workflow Effects"/>
    <s v="7. SME traveling to train entire team hands-on."/>
    <s v="Providing hands-on training with domain experts (SMEs)"/>
    <x v="57"/>
    <s v="Requirements Understanding"/>
  </r>
  <r>
    <n v="8679"/>
    <s v="Lack of product/domain knowledge"/>
    <s v="User Story Issues"/>
    <s v="Scrum"/>
    <s v="Sprint Planning"/>
    <s v="Scrum Master"/>
    <s v="Workflow disruption and delivery blockage"/>
    <s v="Process &amp; Workflow Effects"/>
    <s v="8. key team members traveling for hands-on training with SMEs."/>
    <s v="Providing hands-on training with domain experts (SMEs)"/>
    <x v="57"/>
    <s v="Requirements Understanding"/>
  </r>
  <r>
    <n v="232488"/>
    <s v="User stories lacking user value orientation"/>
    <s v="User Story Issues"/>
    <s v="Scrum"/>
    <s v="Sprint Planning"/>
    <s v="Not mentioned"/>
    <s v="Methodological inconsistency"/>
    <s v="Process &amp; Workflow Effects"/>
    <s v="8. taking a step back and reassessing."/>
    <s v="Reassessing process and priorities"/>
    <x v="18"/>
    <s v="Continuous Learning"/>
  </r>
  <r>
    <n v="240325"/>
    <s v="User stories framed as solutions or technical tasks"/>
    <s v="User Story Issues"/>
    <s v="Scrum"/>
    <s v="Sprint"/>
    <s v="Not mentioned"/>
    <s v="Organizational and backlog management issues"/>
    <s v="Organizational &amp; Management Effects"/>
    <s v="8. reassigning story ownership as each person finishes their part."/>
    <s v="Reassigning ownership across workflow stages"/>
    <x v="21"/>
    <s v="Collaboration &amp; Alignment"/>
  </r>
  <r>
    <n v="31666"/>
    <s v="Process/workflow issues around user stories"/>
    <s v="User Story related Issues"/>
    <s v="Scrum"/>
    <s v="Sprint"/>
    <s v="Not mentioned"/>
    <s v="Sprint instability and planning issues"/>
    <s v="Process &amp; Workflow Effects"/>
    <s v="5. testing as an expected and necessary cost of doing business"/>
    <s v="Recognizing testing as essential"/>
    <x v="15"/>
    <s v="Quality Assurance"/>
  </r>
  <r>
    <n v="228110"/>
    <s v="Poor decomposition and granularity of user stories"/>
    <s v="User Story Issues"/>
    <s v="Not mentioned"/>
    <s v="Not mentioned"/>
    <s v="Not mentioned"/>
    <s v="Lack of independence and value delivery issues"/>
    <s v="Product &amp; Value Effects"/>
    <s v="7. avoiding lengthy design discussions before implementing each story."/>
    <s v="Reducing upfront design overhead"/>
    <x v="72"/>
    <s v="Technical Foundations"/>
  </r>
  <r>
    <n v="14189"/>
    <s v="User stories lacking user value orientation"/>
    <s v="User Story Issues"/>
    <s v="Scrum"/>
    <s v="Not mentioned"/>
    <s v="Not mentioned"/>
    <s v="Lack of independence and value delivery issues"/>
    <s v="Product &amp; Value Effects"/>
    <s v="3. independent stories can be released separately based on business value."/>
    <s v="Releasing stories independently based on value"/>
    <x v="38"/>
    <s v="Value Orientation"/>
  </r>
  <r>
    <n v="127300"/>
    <s v="User story writing improvement need"/>
    <s v="User Story Issues"/>
    <s v="Not mentioned"/>
    <s v="Not mentioned"/>
    <s v="Not mentioned"/>
    <s v="Misalignment with goals and prioritization"/>
    <s v="Product &amp; Value Effects"/>
    <s v="4. understanding context before seeking clarification from business analyst."/>
    <s v="Representing negative scenarios as user stories or acceptance tests"/>
    <x v="23"/>
    <s v="Quality Assurance"/>
  </r>
  <r>
    <n v="560"/>
    <s v="Poorly defined or missing acceptance criteria"/>
    <s v="User Story Issues"/>
    <s v="Scrum"/>
    <s v="Planning"/>
    <s v="Scrum Master"/>
    <s v="Quality assurance and validation issues"/>
    <s v="Structural &amp; Quality Effects"/>
    <s v="2. Treat negative acceptance tests as user stories."/>
    <s v="Representing negative scenarios as user stories or acceptance tests"/>
    <x v="23"/>
    <s v="Quality Assurance"/>
  </r>
  <r>
    <n v="194180"/>
    <s v="Lack of clarity and completeness in user stories"/>
    <s v="User Story Issues"/>
    <s v="XP"/>
    <s v="Not mentioned"/>
    <s v="Not mentioned"/>
    <s v="Estimation uncertainty and inaccuracy"/>
    <s v="Planning &amp; Estimation Effects"/>
    <s v="11. Do not estimate stories until critical ambiguities are resolved"/>
    <s v="Resolving ambiguities before estimation"/>
    <x v="20"/>
    <s v="Requirements Understanding"/>
  </r>
  <r>
    <n v="194180"/>
    <s v="Lack of clarity and completeness in user stories"/>
    <s v="User Story Issues"/>
    <s v="XP"/>
    <s v="Not mentioned"/>
    <s v="Not mentioned"/>
    <s v="Estimation uncertainty and inaccuracy"/>
    <s v="Planning &amp; Estimation Effects"/>
    <s v="11. Raise questions when requirements are incomplete before providing estimates."/>
    <s v="Resolving ambiguities before estimation"/>
    <x v="20"/>
    <s v="Requirements Understanding"/>
  </r>
  <r>
    <n v="22001"/>
    <s v="Poor decomposition and granularity of user stories"/>
    <s v="User Story Issues"/>
    <s v="Not mentioned"/>
    <s v="Not mentioned"/>
    <s v="Not mentioned"/>
    <s v="Difficulty in decomposition and task structuring"/>
    <s v="Structural &amp; Quality Effects"/>
    <s v="9. respect the time box"/>
    <s v="Respecting timeboxes"/>
    <x v="73"/>
    <s v="Process Adaptation"/>
  </r>
  <r>
    <n v="31666"/>
    <s v="Process/workflow issues around user stories"/>
    <s v="User Story related Issues"/>
    <s v="Scrum"/>
    <s v="Sprint"/>
    <s v="Not mentioned"/>
    <s v="Sprint instability and planning issues"/>
    <s v="Process &amp; Workflow Effects"/>
    <s v="3. hiring more people gives you a chance to improve your processes"/>
    <s v="Scaling team capacity"/>
    <x v="5"/>
    <s v="Process Adaptation"/>
  </r>
  <r>
    <n v="31666"/>
    <s v="Process/workflow issues around user stories"/>
    <s v="User Story related Issues"/>
    <s v="Scrum"/>
    <s v="Sprint"/>
    <s v="Not mentioned"/>
    <s v="Sprint instability and planning issues"/>
    <s v="Process &amp; Workflow Effects"/>
    <s v="4. get your team to production size"/>
    <s v="Scaling team capacity"/>
    <x v="5"/>
    <s v="Process Adaptation"/>
  </r>
  <r>
    <n v="3017"/>
    <s v="User stories lacking user value orientation"/>
    <s v="User Story Issues"/>
    <s v="Scrum"/>
    <s v="Not mentioned"/>
    <s v="Not mentioned"/>
    <s v="Lack of independence and value delivery issues"/>
    <s v="Product &amp; Value Effects"/>
    <s v="2. design as separate stories."/>
    <s v="Separating design work into distinct stories"/>
    <x v="40"/>
    <s v="Design–Development Alignment"/>
  </r>
  <r>
    <n v="11247"/>
    <s v="Difficulties in estimating user stories"/>
    <s v="User Story related Issues"/>
    <s v="Scrum"/>
    <s v="Planning"/>
    <s v="Not mentioned"/>
    <s v="Estimation uncertainty and inaccuracy"/>
    <s v="Planning &amp; Estimation Effects"/>
    <s v="5. Dollars are suitable for estimating business value, not estimating effort."/>
    <s v="Separating effort estimation from business value and cost estimation"/>
    <x v="74"/>
    <s v="Effort Estimation &amp; Planning"/>
  </r>
  <r>
    <n v="11247"/>
    <s v="Difficulties in estimating user stories"/>
    <s v="User Story related Issues"/>
    <s v="Scrum"/>
    <s v="Planning"/>
    <s v="Not mentioned"/>
    <s v="Estimation uncertainty and inaccuracy"/>
    <s v="Planning &amp; Estimation Effects"/>
    <s v="7. product owner and stakeholders calculating in dollars/money."/>
    <s v="Separating effort estimation from business value and cost estimation"/>
    <x v="74"/>
    <s v="Effort Estimation &amp; Planning"/>
  </r>
  <r>
    <n v="403583"/>
    <s v="Difficulties in estimating user stories"/>
    <s v="User Story related Issues"/>
    <s v="Scrum"/>
    <s v="Planning"/>
    <s v="Not mentioned"/>
    <s v="Estimation uncertainty and inaccuracy"/>
    <s v="Planning &amp; Estimation Effects"/>
    <s v="5. Keep time and cost estimates separate from story point estimation."/>
    <s v="Separating effort estimation from business value and cost estimation"/>
    <x v="74"/>
    <s v="Effort Estimation &amp; Planning"/>
  </r>
  <r>
    <n v="25714"/>
    <s v="Difficulties in estimating user stories"/>
    <s v="User Story related Issues"/>
    <s v="Scrum"/>
    <s v="Sprint"/>
    <s v="Not mentioned"/>
    <s v="Estimation uncertainty and inaccuracy"/>
    <s v="Planning &amp; Estimation Effects"/>
    <s v="1. biggest value to the user in the shortest time"/>
    <s v="Separating effort estimation from business value and cost estimation"/>
    <x v="74"/>
    <s v="Effort Estimation &amp; Planning"/>
  </r>
  <r>
    <n v="30061"/>
    <s v="Poorly defined or missing acceptance criteria"/>
    <s v="User Story Issues"/>
    <s v="Not mentioned"/>
    <s v="Release Planning"/>
    <s v="Not mentioned"/>
    <s v="Estimation uncertainty and inaccuracy"/>
    <s v="Planning &amp; Estimation Effects"/>
    <s v="1. split that epic into stories and work on those stories"/>
    <s v="Splitting epics into smaller user stories"/>
    <x v="39"/>
    <s v="Work Structuring"/>
  </r>
  <r>
    <n v="30061"/>
    <s v="Poorly defined or missing acceptance criteria"/>
    <s v="User Story Issues"/>
    <s v="Not mentioned"/>
    <s v="Release Planning"/>
    <s v="Not mentioned"/>
    <s v="Estimation uncertainty and inaccuracy"/>
    <s v="Planning &amp; Estimation Effects"/>
    <s v="2. find out how many story points an epic has is by splitting it into stories"/>
    <s v="Splitting epics into smaller user stories"/>
    <x v="39"/>
    <s v="Work Structuring"/>
  </r>
  <r>
    <n v="3017"/>
    <s v="User stories lacking user value orientation"/>
    <s v="User Story Issues"/>
    <s v="Scrum"/>
    <s v="Not mentioned"/>
    <s v="Not mentioned"/>
    <s v="Lack of independence and value delivery issues"/>
    <s v="Product &amp; Value Effects"/>
    <s v="9. breaking UI/graphics into two stories: functionality first, design later."/>
    <s v="Splitting functionality and design into separate stories"/>
    <x v="75"/>
    <s v="Design–Development Alignment"/>
  </r>
  <r>
    <n v="240325"/>
    <s v="User stories framed as solutions or technical tasks"/>
    <s v="User Story Issues"/>
    <s v="Scrum"/>
    <s v="Sprint"/>
    <s v="Not mentioned"/>
    <s v="Organizational and backlog management issues"/>
    <s v="Organizational &amp; Management Effects"/>
    <s v="2. dividing story into tasks owned by different developers."/>
    <s v="Splitting stories into developer-owned tasks"/>
    <x v="29"/>
    <s v="Work Structuring"/>
  </r>
  <r>
    <n v="240325"/>
    <s v="User stories framed as solutions or technical tasks"/>
    <s v="User Story Issues"/>
    <s v="Scrum"/>
    <s v="Sprint"/>
    <s v="Not mentioned"/>
    <s v="Organizational and backlog management issues"/>
    <s v="Organizational &amp; Management Effects"/>
    <s v="7. dividing user stories into tasks among team members."/>
    <s v="Splitting stories into team-member tasks"/>
    <x v="29"/>
    <s v="Work Structuring"/>
  </r>
  <r>
    <n v="14189"/>
    <s v="User stories lacking user value orientation"/>
    <s v="User Story Issues"/>
    <s v="Scrum"/>
    <s v="Not mentioned"/>
    <s v="Not mentioned"/>
    <s v="Lack of independence and value delivery issues"/>
    <s v="Product &amp; Value Effects"/>
    <s v="6. splitting stories into small vertical slices."/>
    <s v="Splitting stories into vertical slices"/>
    <x v="30"/>
    <s v="Work Structuring"/>
  </r>
  <r>
    <n v="26673"/>
    <s v="Poor decomposition and granularity of user stories"/>
    <s v="User Story Issues"/>
    <s v="Scrum"/>
    <s v="Not mentioned"/>
    <s v="Team"/>
    <s v="Lack of independence and value delivery issues"/>
    <s v="Product &amp; Value Effects"/>
    <s v="8. start with simple architectures"/>
    <s v="Starting with simple architectures"/>
    <x v="8"/>
    <s v="Technical Foundations"/>
  </r>
  <r>
    <n v="127213"/>
    <s v="Lack of clarity and completeness in user stories"/>
    <s v="User Story Issues"/>
    <s v="Not mentioned"/>
    <s v="Not mentioned"/>
    <s v="Product owner"/>
    <s v="Misalignment with goals and prioritization"/>
    <s v="Product &amp; Value Effects"/>
    <s v="10. arranging stories hierarchically by functional areas."/>
    <s v="Structuring backlog hierarchically"/>
    <x v="52"/>
    <s v="Process Adaptation"/>
  </r>
  <r>
    <n v="25196"/>
    <s v="Process/workflow issues around user stories"/>
    <s v="User Story related Issues"/>
    <s v="Kanban"/>
    <s v="Not mentioned"/>
    <s v="Not mentioned"/>
    <s v="Organizational and backlog management issues"/>
    <s v="Organizational &amp; Management Effects"/>
    <s v="4. group stories beneath an Epic"/>
    <s v="Structuring backlog hierarchically"/>
    <x v="52"/>
    <s v="Process Adaptation"/>
  </r>
  <r>
    <n v="41750"/>
    <s v="User stories lacking user value orientation"/>
    <s v="User Story Issues"/>
    <s v="Not mentioned"/>
    <s v="Not mentioned"/>
    <s v="Not mentioned"/>
    <s v="Estimation uncertainty and inaccuracy"/>
    <s v="Planning &amp; Estimation Effects"/>
    <s v="1. splitting tasks into common once, common repeated, and specific for estimation."/>
    <s v="Structuring tasks for estimation clarity"/>
    <x v="29"/>
    <s v="Work Structuring"/>
  </r>
  <r>
    <n v="127213"/>
    <s v="Lack of clarity and completeness in user stories"/>
    <s v="User Story Issues"/>
    <s v="Not mentioned"/>
    <s v="Not mentioned"/>
    <s v="Product owner"/>
    <s v="Misalignment with goals and prioritization"/>
    <s v="Product &amp; Value Effects"/>
    <s v="14. .splitting development group into separate agile teams by functional areas."/>
    <s v="Structuring teams by functional areas"/>
    <x v="76"/>
    <s v="Process Adaptation"/>
  </r>
  <r>
    <n v="194180"/>
    <s v="Lack of clarity and completeness in user stories"/>
    <s v="User Story Issues"/>
    <s v="XP"/>
    <s v="Not mentioned"/>
    <s v="Not mentioned"/>
    <s v="Estimation uncertainty and inaccuracy"/>
    <s v="Planning &amp; Estimation Effects"/>
    <s v="14. broken down into tasks and sub tasks"/>
    <s v="Structuring work into tasks and subtasks"/>
    <x v="29"/>
    <s v="Work Structuring"/>
  </r>
  <r>
    <n v="194180"/>
    <s v="Lack of clarity and completeness in user stories"/>
    <s v="User Story Issues"/>
    <s v="XP"/>
    <s v="Not mentioned"/>
    <s v="Not mentioned"/>
    <s v="Estimation uncertainty and inaccuracy"/>
    <s v="Planning &amp; Estimation Effects"/>
    <s v="15. childing tasks represent the real work"/>
    <s v="Structuring work into tasks and subtasks"/>
    <x v="29"/>
    <s v="Work Structuring"/>
  </r>
  <r>
    <n v="194180"/>
    <s v="Lack of clarity and completeness in user stories"/>
    <s v="User Story Issues"/>
    <s v="XP"/>
    <s v="Not mentioned"/>
    <s v="Not mentioned"/>
    <s v="Estimation uncertainty and inaccuracy"/>
    <s v="Planning &amp; Estimation Effects"/>
    <s v=" 16. Break user stories into small tasks that reflect the actual implementation work"/>
    <s v="Structuring work into tasks and subtasks"/>
    <x v="29"/>
    <s v="Work Structuring"/>
  </r>
  <r>
    <n v="194180"/>
    <s v="Lack of clarity and completeness in user stories"/>
    <s v="User Story Issues"/>
    <s v="XP"/>
    <s v="Not mentioned"/>
    <s v="Not mentioned"/>
    <s v="Estimation uncertainty and inaccuracy"/>
    <s v="Planning &amp; Estimation Effects"/>
    <s v="16. Create granular child tasks that clearly describe the work required."/>
    <s v="Structuring work into tasks and subtasks"/>
    <x v="29"/>
    <s v="Work Structuring"/>
  </r>
  <r>
    <n v="228110"/>
    <s v="Poor decomposition and granularity of user stories"/>
    <s v="User Story Issues"/>
    <s v="Not mentioned"/>
    <s v="Not mentioned"/>
    <s v="Not mentioned"/>
    <s v="Lack of independence and value delivery issues"/>
    <s v="Product &amp; Value Effects"/>
    <s v="4. collective code ownership and pair programming to support vertical user stories."/>
    <s v="Supporting vertical stories through collective ownership and pair programming"/>
    <x v="21"/>
    <s v="Collaboration &amp; Alignment"/>
  </r>
  <r>
    <n v="9878"/>
    <s v="Process/workflow issues around user stories"/>
    <s v="User Story related Issues"/>
    <s v="Scrum"/>
    <s v="Sprint Planning"/>
    <s v="Team"/>
    <s v="Organizational and backlog management issues"/>
    <s v="Organizational &amp; Management Effects"/>
    <s v="3. reformulating additional work items as user stories for Product Backlog insertion."/>
    <s v="Transforming work into backlog items"/>
    <x v="48"/>
    <s v="Process Adaptation"/>
  </r>
  <r>
    <n v="31614"/>
    <s v="UX/UI integration challenges around user stories"/>
    <s v="User Story related Issues"/>
    <s v="Scrum"/>
    <s v="Sprint Planning"/>
    <s v="Not mentioned"/>
    <s v="Workflow disruption and delivery blockage"/>
    <s v="Process &amp; Workflow Effects"/>
    <s v="1. Agile is not restricted to sprint-only planning or execution"/>
    <s v="Understanding Agile beyond sprint boundaries"/>
    <x v="0"/>
    <s v="Process Adaptation"/>
  </r>
  <r>
    <n v="31614"/>
    <s v="UX/UI integration challenges around user stories"/>
    <s v="User Story related Issues"/>
    <s v="Scrum"/>
    <s v="Sprint Planning"/>
    <s v="Not mentioned"/>
    <s v="Workflow disruption and delivery blockage"/>
    <s v="Process &amp; Workflow Effects"/>
    <s v="1. misunderstanding that the current iteration is the only place things happen"/>
    <s v="Understanding Agile work spans beyond a single iteration"/>
    <x v="0"/>
    <s v="Process Adaptation"/>
  </r>
  <r>
    <n v="25196"/>
    <s v="Process/workflow issues around user stories"/>
    <s v="User Story related Issues"/>
    <s v="Kanban"/>
    <s v="Not mentioned"/>
    <s v="Not mentioned"/>
    <s v="Organizational and backlog management issues"/>
    <s v="Organizational &amp; Management Effects"/>
    <s v="1. use job stories instead"/>
    <s v="Using alternative story formats"/>
    <x v="33"/>
    <s v="Requirements Understanding"/>
  </r>
  <r>
    <n v="127213"/>
    <s v="Lack of clarity and completeness in user stories"/>
    <s v="User Story Issues"/>
    <s v="Not mentioned"/>
    <s v="Not mentioned"/>
    <s v="Product owner"/>
    <s v="Misalignment with goals and prioritization"/>
    <s v="Product &amp; Value Effects"/>
    <s v="5. Define larger chunks (i.e. epic stories) story blocks instead of low-level stories from the start."/>
    <s v="Using appropriate abstraction levels in backlog"/>
    <x v="65"/>
    <s v="Requirements Understanding"/>
  </r>
  <r>
    <n v="8410"/>
    <s v="Difficulties in estimating user stories"/>
    <s v="User Story related Issues"/>
    <s v="Scrum"/>
    <s v="Sprint Planning"/>
    <s v="Not mentioned"/>
    <s v="Sprint instability and planning issues"/>
    <s v="Process &amp; Workflow Effects"/>
    <s v="3. Use planning poker to increase transparency, reduce uncertainty, and expose risks to stakeholders."/>
    <s v="Using collaborative estimation techniques"/>
    <x v="77"/>
    <s v="Effort Estimation &amp; Planning"/>
  </r>
  <r>
    <n v="8410"/>
    <s v="Difficulties in estimating user stories"/>
    <s v="User Story related Issues"/>
    <s v="Scrum"/>
    <s v="Sprint Planning"/>
    <s v="Not mentioned"/>
    <s v="Sprint instability and planning issues"/>
    <s v="Process &amp; Workflow Effects"/>
    <s v="4. discussing outlier estimates until reasonable compromise is reached."/>
    <s v="Using collaborative estimation techniques"/>
    <x v="77"/>
    <s v="Effort Estimation &amp; Planning"/>
  </r>
  <r>
    <n v="228110"/>
    <s v="Poor decomposition and granularity of user stories"/>
    <s v="User Story Issues"/>
    <s v="Not mentioned"/>
    <s v="Not mentioned"/>
    <s v="Not mentioned"/>
    <s v="Lack of independence and value delivery issues"/>
    <s v="Product &amp; Value Effects"/>
    <s v="3. secondary structures helping mitigate drawbacks of vertical or horizontal slicing."/>
    <s v="Using complementary structures to mitigate slicing drawbacks"/>
    <x v="78"/>
    <s v="Work Structuring"/>
  </r>
  <r>
    <n v="25714"/>
    <s v="Difficulties in estimating user stories"/>
    <s v="User Story related Issues"/>
    <s v="Scrum"/>
    <s v="Sprint"/>
    <s v="Not mentioned"/>
    <s v="Estimation uncertainty and inaccuracy"/>
    <s v="Planning &amp; Estimation Effects"/>
    <s v="14. Use cross-domain analogies to overcome creative or technical blocks"/>
    <s v="Using creative problem-solving techniques"/>
    <x v="79"/>
    <s v="Continuous Learning"/>
  </r>
  <r>
    <n v="23855"/>
    <s v="Process/workflow issues around user stories"/>
    <s v="User Story related Issues"/>
    <s v="Scrum"/>
    <s v="Sprint Planning"/>
    <s v="Not mentioned"/>
    <s v="Sprint instability and planning issues"/>
    <s v="Process &amp; Workflow Effects"/>
    <s v="2. Track and categorize work to generate data for better planning and forecasting "/>
    <s v="Using data-driven planning"/>
    <x v="80"/>
    <s v="Continuous Learning"/>
  </r>
  <r>
    <n v="231273"/>
    <s v="User stories framed as solutions or technical tasks"/>
    <s v="User Story Issues"/>
    <s v="Not mentioned"/>
    <s v="Backlog refinament"/>
    <s v="Team"/>
    <s v="Loss of autonomy and professional degradation"/>
    <s v="Human &amp; Social Effects"/>
    <s v="6. choosing a pet feature to demonstrate success and gain leverage for future discussions."/>
    <s v="Using demonstrator features to support stakeholder negotiation"/>
    <x v="81"/>
    <s v="Requirements Understanding"/>
  </r>
  <r>
    <n v="23855"/>
    <s v="Process/workflow issues around user stories"/>
    <s v="User Story related Issues"/>
    <s v="Scrum"/>
    <s v="Sprint Planning"/>
    <s v="Not mentioned"/>
    <s v="Sprint instability and planning issues"/>
    <s v="Process &amp; Workflow Effects"/>
    <s v="2. Use detailed task logging to understand effort distribution and improve team pacing."/>
    <s v="Using detailed tracking for process improvement"/>
    <x v="80"/>
    <s v="Continuous Learning"/>
  </r>
  <r>
    <n v="22001"/>
    <s v="Poor decomposition and granularity of user stories"/>
    <s v="User Story Issues"/>
    <s v="Not mentioned"/>
    <s v="Not mentioned"/>
    <s v="Not mentioned"/>
    <s v="Difficulty in decomposition and task structuring"/>
    <s v="Structural &amp; Quality Effects"/>
    <s v="2. measure time directly"/>
    <s v="Using direct time measurement when appropriate"/>
    <x v="80"/>
    <s v="Continuous Learning"/>
  </r>
  <r>
    <n v="25714"/>
    <s v="Difficulties in estimating user stories"/>
    <s v="User Story related Issues"/>
    <s v="Scrum"/>
    <s v="Sprint"/>
    <s v="Not mentioned"/>
    <s v="Estimation uncertainty and inaccuracy"/>
    <s v="Planning &amp; Estimation Effects"/>
    <s v="12. measure, collect data"/>
    <s v="Using empirical data to guide decisions"/>
    <x v="80"/>
    <s v="Continuous Learning"/>
  </r>
  <r>
    <n v="31666"/>
    <s v="Process/workflow issues around user stories"/>
    <s v="User Story related Issues"/>
    <s v="Scrum"/>
    <s v="Sprint"/>
    <s v="Not mentioned"/>
    <s v="Sprint instability and planning issues"/>
    <s v="Process &amp; Workflow Effects"/>
    <s v="10. help of an experienced Technical Project Manager to help explain how to shrink the stories"/>
    <s v="Using experienced leadership for guidance"/>
    <x v="82"/>
    <s v="Collaboration &amp; Alignment"/>
  </r>
  <r>
    <n v="8679"/>
    <s v="Lack of product/domain knowledge"/>
    <s v="User Story Issues"/>
    <s v="Scrum"/>
    <s v="Sprint Planning"/>
    <s v="Scrum Master"/>
    <s v="Workflow disruption and delivery blockage"/>
    <s v="Process &amp; Workflow Effects"/>
    <s v="5. using spikes to reduce uncertainty."/>
    <s v="Using exploratory work (spikes) to reduce uncertainty"/>
    <x v="82"/>
    <s v="Collaboration &amp; Alignment"/>
  </r>
  <r>
    <n v="23855"/>
    <s v="Process/workflow issues around user stories"/>
    <s v="User Story related Issues"/>
    <s v="Scrum"/>
    <s v="Sprint Planning"/>
    <s v="Not mentioned"/>
    <s v="Sprint instability and planning issues"/>
    <s v="Process &amp; Workflow Effects"/>
    <s v="1. Prefer flow-based approaches (e.g., Kanban) over fixed sprints when appropriate. "/>
    <s v="Using flow-based approaches when suitable"/>
    <x v="82"/>
    <s v="Collaboration &amp; Alignment"/>
  </r>
  <r>
    <n v="11247"/>
    <s v="Difficulties in estimating user stories"/>
    <s v="User Story related Issues"/>
    <s v="Scrum"/>
    <s v="Planning"/>
    <s v="Not mentioned"/>
    <s v="Estimation uncertainty and inaccuracy"/>
    <s v="Planning &amp; Estimation Effects"/>
    <s v="2. Leverage past stories as reference points for new estimates. "/>
    <s v="Using historical reference stories for estimation"/>
    <x v="83"/>
    <s v="Effort Estimation &amp; Planning"/>
  </r>
  <r>
    <n v="12641"/>
    <s v="User stories framed as solutions or technical tasks"/>
    <s v="User Story Issues"/>
    <s v="Not mentioned"/>
    <s v="Not mentioned"/>
    <s v="Not mentioned"/>
    <s v="Difficulty in decomposition and task structuring"/>
    <s v="Structural &amp; Quality Effects"/>
    <s v="3. creating GitHub milestones for features/user stories with associated issues for tasks."/>
    <s v="Using milestones and issues to structure features and tasks"/>
    <x v="46"/>
    <s v="Process Adaptation"/>
  </r>
  <r>
    <n v="127300"/>
    <s v="User story writing improvement need"/>
    <s v="User Story Issues"/>
    <s v="Not mentioned"/>
    <s v="Not mentioned"/>
    <s v="Not mentioned"/>
    <s v="Misalignment with goals and prioritization"/>
    <s v="Product &amp; Value Effects"/>
    <s v="1. writing user stories for reliability, security, and capacity."/>
    <s v="Using modeling techniques to analyze dependencies"/>
    <x v="81"/>
    <s v="Requirements Understanding"/>
  </r>
  <r>
    <n v="228110"/>
    <s v="Poor decomposition and granularity of user stories"/>
    <s v="User Story Issues"/>
    <s v="Not mentioned"/>
    <s v="Not mentioned"/>
    <s v="Not mentioned"/>
    <s v="Lack of independence and value delivery issues"/>
    <s v="Product &amp; Value Effects"/>
    <s v="9. pair programming to build confidence across team members."/>
    <s v="Using pair programming to build cross-functional confidence"/>
    <x v="84"/>
    <s v="Technical Foundations"/>
  </r>
  <r>
    <n v="14189"/>
    <s v="User stories lacking user value orientation"/>
    <s v="User Story Issues"/>
    <s v="Scrum"/>
    <s v="Not mentioned"/>
    <s v="Not mentioned"/>
    <s v="Lack of independence and value delivery issues"/>
    <s v="Product &amp; Value Effects"/>
    <s v="7. using patterns to slice large user stories into smaller vertical slices."/>
    <s v="Using patterns for vertical slicing"/>
    <x v="30"/>
    <s v="Work Structuring"/>
  </r>
  <r>
    <n v="127300"/>
    <s v="User story writing improvement need"/>
    <s v="User Story Issues"/>
    <s v="Not mentioned"/>
    <s v="Not mentioned"/>
    <s v="Not mentioned"/>
    <s v="Misalignment with goals and prioritization"/>
    <s v="Product &amp; Value Effects"/>
    <s v="2. using activity diagrams and PERT diagrams to analyze feature dependencies."/>
    <s v="Using project narratives or charters to derive user stories"/>
    <x v="81"/>
    <s v="Requirements Understanding"/>
  </r>
  <r>
    <n v="30061"/>
    <s v="Poorly defined or missing acceptance criteria"/>
    <s v="User Story Issues"/>
    <s v="Not mentioned"/>
    <s v="Release Planning"/>
    <s v="Not mentioned"/>
    <s v="Estimation uncertainty and inaccuracy"/>
    <s v="Planning &amp; Estimation Effects"/>
    <s v="4. relative sizing of items"/>
    <s v="Using relative sizing for estimation"/>
    <x v="7"/>
    <s v="Effort Estimation &amp; Planning"/>
  </r>
  <r>
    <n v="30061"/>
    <s v="Poorly defined or missing acceptance criteria"/>
    <s v="User Story Issues"/>
    <s v="Not mentioned"/>
    <s v="Release Planning"/>
    <s v="Not mentioned"/>
    <s v="Estimation uncertainty and inaccuracy"/>
    <s v="Planning &amp; Estimation Effects"/>
    <s v="5. put them in buckets of relative size"/>
    <s v="Using relative sizing for estimation"/>
    <x v="7"/>
    <s v="Effort Estimation &amp; Planning"/>
  </r>
  <r>
    <n v="323107"/>
    <s v="Process/workflow issues around user stories"/>
    <s v="User Story related Issues"/>
    <s v="Scrum"/>
    <s v="Not mentioned"/>
    <s v="Not mentioned"/>
    <s v="Organizational and backlog management issues"/>
    <s v="Organizational &amp; Management Effects"/>
    <s v="4. Use short cycles of practice and retrospectives to learn and refine the process."/>
    <s v="Using retrospectives for continuous improvement"/>
    <x v="18"/>
    <s v="Continuous Learning"/>
  </r>
  <r>
    <n v="11247"/>
    <s v="Difficulties in estimating user stories"/>
    <s v="User Story related Issues"/>
    <s v="Scrum"/>
    <s v="Planning"/>
    <s v="Not mentioned"/>
    <s v="Estimation uncertainty and inaccuracy"/>
    <s v="Planning &amp; Estimation Effects"/>
    <s v="6. using 5-Whys technique to define root cause for estimation scheme."/>
    <s v="Using root cause analysis to improve estimation practices"/>
    <x v="85"/>
    <s v="Effort Estimation &amp; Planning"/>
  </r>
  <r>
    <n v="234758"/>
    <s v="UX/UI integration challenges around user stories"/>
    <s v="User Story related Issues"/>
    <s v="Not mentioned"/>
    <s v="Sprint Planning"/>
    <s v="Team"/>
    <s v="Estimation uncertainty and inaccuracy"/>
    <s v="Planning &amp; Estimation Effects"/>
    <s v="2. design/UI stories in one sprint and coding in the next."/>
    <s v="Using split-sprint UX/UI and development approach"/>
    <x v="63"/>
    <s v="Design–Development Alignment"/>
  </r>
  <r>
    <n v="3017"/>
    <s v="User stories lacking user value orientation"/>
    <s v="User Story Issues"/>
    <s v="Scrum"/>
    <s v="Not mentioned"/>
    <s v="Not mentioned"/>
    <s v="Lack of independence and value delivery issues"/>
    <s v="Product &amp; Value Effects"/>
    <s v="5. analysts and designers working a sprint ahead of developers."/>
    <s v="Using staggered design-development workflow"/>
    <x v="63"/>
    <s v="Design–Development Alignment"/>
  </r>
  <r>
    <n v="31614"/>
    <s v="UX/UI integration challenges around user stories"/>
    <s v="User Story related Issues"/>
    <s v="Scrum"/>
    <s v="Sprint Planning"/>
    <s v="Not mentioned"/>
    <s v="Workflow disruption and delivery blockage"/>
    <s v="Process &amp; Workflow Effects"/>
    <s v="2. designer should work ahead of the developers"/>
    <s v="Using staggered UX/UI and development workflow"/>
    <x v="63"/>
    <s v="Design–Development Alignment"/>
  </r>
  <r>
    <n v="3017"/>
    <s v="User stories lacking user value orientation"/>
    <s v="User Story Issues"/>
    <s v="Scrum"/>
    <s v="Not mentioned"/>
    <s v="Not mentioned"/>
    <s v="Lack of independence and value delivery issues"/>
    <s v="Product &amp; Value Effects"/>
    <s v="8. have clear coding and design standards, with weekly backlog grooming."/>
    <s v="Using standards and backlog grooming"/>
    <x v="52"/>
    <s v="Process Adaptation"/>
  </r>
  <r>
    <n v="127300"/>
    <s v="User story writing improvement need"/>
    <s v="User Story Issues"/>
    <s v="Not mentioned"/>
    <s v="Not mentioned"/>
    <s v="Not mentioned"/>
    <s v="Misalignment with goals and prioritization"/>
    <s v="Product &amp; Value Effects"/>
    <s v="3. narrative/project charter as starting place for identifying user stories."/>
    <s v="Using steel threads to clarify user story requirements"/>
    <x v="81"/>
    <s v="Requirements Understanding"/>
  </r>
  <r>
    <n v="560"/>
    <s v="Poorly defined or missing acceptance criteria"/>
    <s v="User Story Issues"/>
    <s v="Scrum"/>
    <s v="Planning"/>
    <s v="Scrum Master"/>
    <s v="Quality assurance and validation issues"/>
    <s v="Structural &amp; Quality Effects"/>
    <s v="1. steel thread concept for specific user story requirements."/>
    <s v="Using steel threads to clarify user story requirements"/>
    <x v="81"/>
    <s v="Requirements Understanding"/>
  </r>
  <r>
    <n v="22001"/>
    <s v="Poor decomposition and granularity of user stories"/>
    <s v="User Story Issues"/>
    <s v="Not mentioned"/>
    <s v="Not mentioned"/>
    <s v="Not mentioned"/>
    <s v="Difficulty in decomposition and task structuring"/>
    <s v="Structural &amp; Quality Effects"/>
    <s v="4. story points are an intermediate value to estimate capacity"/>
    <s v="Using story points for capacity estimation"/>
    <x v="86"/>
    <s v="Effort Estimation &amp; Planning"/>
  </r>
  <r>
    <n v="25196"/>
    <s v="Process/workflow issues around user stories"/>
    <s v="User Story related Issues"/>
    <s v="Kanban"/>
    <s v="Not mentioned"/>
    <s v="Not mentioned"/>
    <s v="Organizational and backlog management issues"/>
    <s v="Organizational &amp; Management Effects"/>
    <s v="2. shouldn't expect to understand everything from the summary"/>
    <s v="Using summaries as guidance rather than full specification"/>
    <x v="87"/>
    <s v="Requirements Understanding"/>
  </r>
  <r>
    <n v="25196"/>
    <s v="Process/workflow issues around user stories"/>
    <s v="User Story related Issues"/>
    <s v="Kanban"/>
    <s v="Not mentioned"/>
    <s v="Not mentioned"/>
    <s v="Organizational and backlog management issues"/>
    <s v="Organizational &amp; Management Effects"/>
    <s v="3. see summaries as pointers"/>
    <s v="Using summaries as guidance rather than full specification"/>
    <x v="87"/>
    <s v="Requirements Understanding"/>
  </r>
  <r>
    <n v="22001"/>
    <s v="Poor decomposition and granularity of user stories"/>
    <s v="User Story Issues"/>
    <s v="Not mentioned"/>
    <s v="Not mentioned"/>
    <s v="Not mentioned"/>
    <s v="Difficulty in decomposition and task structuring"/>
    <s v="Structural &amp; Quality Effects"/>
    <s v="3. standup-to-standup timebox is a process control"/>
    <s v="Using timeboxes as process control mechanisms"/>
    <x v="73"/>
    <s v="Process Adaptation"/>
  </r>
  <r>
    <n v="8679"/>
    <s v="Lack of product/domain knowledge"/>
    <s v="User Story Issues"/>
    <s v="Scrum"/>
    <s v="Sprint Planning"/>
    <s v="Scrum Master"/>
    <s v="Workflow disruption and delivery blockage"/>
    <s v="Process &amp; Workflow Effects"/>
    <s v="6. creating training stories."/>
    <s v="Using training activities to improve domain knowledge"/>
    <x v="57"/>
    <s v="Requirements Understanding"/>
  </r>
  <r>
    <n v="31614"/>
    <s v="UX/UI integration challenges around user stories"/>
    <s v="User Story related Issues"/>
    <s v="Scrum"/>
    <s v="Sprint Planning"/>
    <s v="Not mentioned"/>
    <s v="Workflow disruption and delivery blockage"/>
    <s v="Process &amp; Workflow Effects"/>
    <s v="9. mock-up or visual of some sort is essential"/>
    <s v="Using visual artifacts to support development"/>
    <x v="81"/>
    <s v="Requirements Understa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25637"/>
    <x v="0"/>
    <x v="0"/>
    <s v="Not mentioned"/>
    <s v="Sprint"/>
    <s v="Not mentioned"/>
    <x v="0"/>
    <x v="0"/>
    <s v="1. QA must be complete to call a user story done_x000a_2. 2. QA must be part of DoD to mark stories as done._x000a_3. bring in QA within your sprint and not as a separate stage"/>
  </r>
  <r>
    <n v="18301"/>
    <x v="0"/>
    <x v="0"/>
    <s v="Kanban"/>
    <s v="Not mentioned"/>
    <s v="Not mentioned"/>
    <x v="1"/>
    <x v="1"/>
    <s v="1. planning at task/story level instead of epic level to balance work and transition between epics."/>
  </r>
  <r>
    <n v="31614"/>
    <x v="1"/>
    <x v="0"/>
    <s v="Scrum"/>
    <s v="Sprint Planning"/>
    <s v="Not mentioned"/>
    <x v="2"/>
    <x v="1"/>
    <s v="1. misunderstanding that the current iteration is the only place things happen_x000a_2. designer should work ahead of the developers_x000a_3. designer doesn't become a bottleneck_x000a_4. try to avoid waste_x000a_5. UX/BA tasks are part of the sprint_x000a_6. job of UX is to prepare t"/>
  </r>
  <r>
    <n v="11247"/>
    <x v="2"/>
    <x v="0"/>
    <s v="Scrum"/>
    <s v="Planning"/>
    <s v="Not mentioned"/>
    <x v="3"/>
    <x v="2"/>
    <s v="1. point value determined by environmental factors and team, not time or cost._x000a_2. Leverage past stories as reference points for new estimates.                                                                                                                 "/>
  </r>
  <r>
    <n v="240325"/>
    <x v="3"/>
    <x v="1"/>
    <s v="Scrum"/>
    <s v="Sprint"/>
    <s v="Not mentioned"/>
    <x v="4"/>
    <x v="3"/>
    <s v="1. front-end and back-end as a single story._x000a__x000a_2. dividing story into tasks owned by different developers._x000a__x000a_3. including QA-assigned tasks in the same story._x000a__x000a_4. breaking use-case into smaller end-to-end features for quicker feedback._x000a__x000a_5. splitting story b"/>
  </r>
  <r>
    <n v="396625"/>
    <x v="2"/>
    <x v="0"/>
    <s v="Not mentioned"/>
    <s v="Not mentioned"/>
    <s v="Not mentioned"/>
    <x v="3"/>
    <x v="2"/>
    <s v="1. Use story points and velocity for team-level planning, not external forecasting                                                                                                                                                                             "/>
  </r>
  <r>
    <n v="323107"/>
    <x v="0"/>
    <x v="0"/>
    <s v="Scrum"/>
    <s v="Not mentioned"/>
    <s v="Not mentioned"/>
    <x v="4"/>
    <x v="3"/>
    <s v="1. scrum enabling self-directed team with no universal right way to write stories._x000a__x000a_2. tasks must work for the team doing the work._x000a__x000a_3. figuring out what works best for your team, product, and environment._x000a__x000a_4.  Use short cycles of practice and retrospecti"/>
  </r>
  <r>
    <n v="228110"/>
    <x v="4"/>
    <x v="1"/>
    <s v="Not mentioned"/>
    <s v="Not mentioned"/>
    <s v="Not mentioned"/>
    <x v="5"/>
    <x v="4"/>
    <s v="1. distinguishing between slicing by individual vs team responsibilities._x000a__x000a_2. full-stack developers as most efficient way to work vertically with pair programming across layers._x000a__x000a_3. secondary structures helping mitigate drawbacks of vertical or horizontal"/>
  </r>
  <r>
    <n v="231273"/>
    <x v="3"/>
    <x v="1"/>
    <s v="Not mentioned"/>
    <s v="Backlog refinament"/>
    <s v="Team"/>
    <x v="6"/>
    <x v="5"/>
    <s v="1. talking directly to customers and end users._x000a__x000a_2. getting involved earlier in the process after sales and with BAs._x000a__x000a_3. working through project manager to get in meetings with customer to discuss requirements._x000a__x000a_4. keep asking questions until fully under"/>
  </r>
  <r>
    <n v="3017"/>
    <x v="5"/>
    <x v="1"/>
    <s v="Scrum"/>
    <s v="Not mentioned"/>
    <s v="Not mentioned"/>
    <x v="5"/>
    <x v="4"/>
    <s v="1. design work done in sprint._x000a__x000a_2. design as separate stories._x000a__x000a__x000a_4. focusing on development effort rather than analysis, UI design, and testing._x000a__x000a_5. analysts and designers working a sprint ahead of developers._x000a__x000a_6. keeping things easy to change for lightwe"/>
  </r>
  <r>
    <n v="194180"/>
    <x v="6"/>
    <x v="1"/>
    <s v="XP"/>
    <s v="Not mentioned"/>
    <s v="Not mentioned"/>
    <x v="3"/>
    <x v="2"/>
    <s v="1. fill in those blanks as early as possible_x000a_3. keep the stories as small as possible_x000a_4. get user feedback even more early_x000a_5. agile practices should be adapted to the needs and the culture_x000a_6. discuss your concerns with your fellow developers_x000a_7. good user "/>
  </r>
  <r>
    <n v="127213"/>
    <x v="6"/>
    <x v="1"/>
    <s v="Not mentioned"/>
    <s v="Not mentioned"/>
    <s v="Product owner"/>
    <x v="7"/>
    <x v="4"/>
    <s v="2. great user stories require Quality Assurance and definition of greatness._x000a_3. assuring user stories meet quality standards before estimating._x000a_4. bad user stories can be reworked to improve quality._x000a_6. splitting epics into smaller stories for better esti"/>
  </r>
  <r>
    <n v="25744"/>
    <x v="6"/>
    <x v="1"/>
    <s v="BDD"/>
    <s v="Not mentioned"/>
    <s v="Not mentioned"/>
    <x v="8"/>
    <x v="5"/>
    <s v="1. registered web client calls Foo(int id) method to get a list of Bars_x000a_2. registered web client calls Foo(int id) method with an invalid ID"/>
  </r>
  <r>
    <n v="25196"/>
    <x v="0"/>
    <x v="0"/>
    <s v="Kanban"/>
    <s v="Not mentioned"/>
    <s v="Not mentioned"/>
    <x v="4"/>
    <x v="3"/>
    <s v="1. use job stories instead_x000a_2. shouldn't expect to understand everything from the summary_x000a_3. see summaries as pointers_x000a_4. group stories beneath an Epic"/>
  </r>
  <r>
    <n v="354302"/>
    <x v="0"/>
    <x v="0"/>
    <s v="Not mentioned"/>
    <s v="Not mentioned"/>
    <s v="Not mentioned"/>
    <x v="8"/>
    <x v="5"/>
    <s v="1 - user story is not the same as a requirement_x000a__x000a_2 - break down user stories into tasks_x000a__x000a_3 - user stories focused on what and why, not how_x000a__x000a_4 - avoid shortcuts through the process_x000a__x000a_5 5 - improve understanding of differences between requirements and user s"/>
  </r>
  <r>
    <n v="340712"/>
    <x v="0"/>
    <x v="0"/>
    <s v="Lean Start-up"/>
    <s v="Not mentioned"/>
    <s v="Not mentioned"/>
    <x v="9"/>
    <x v="0"/>
    <s v="1. Evaluate sub-workflows to determine appropriate approaches for architecture-oriented work"/>
  </r>
  <r>
    <n v="8679"/>
    <x v="7"/>
    <x v="1"/>
    <s v="Scrum"/>
    <s v="Sprint Planning"/>
    <s v="Scrum Master"/>
    <x v="2"/>
    <x v="1"/>
    <s v="1. increasing estimate accuracy with PO participation, training, documentation, and spikes._x000a__x000a_2. all stories must be estimated._x000a__x000a_3. estimates as accurate as possible within sprint planning time-box._x000a__x000a_4. estimates should include uncertainty._x000a__x000a_5. using spike"/>
  </r>
  <r>
    <n v="9878"/>
    <x v="0"/>
    <x v="0"/>
    <s v="Scrum"/>
    <s v="Sprint Planning"/>
    <s v="Team"/>
    <x v="4"/>
    <x v="3"/>
    <s v="1. all work including bugs, training, and research managed from Product Backlog to avoid hidden costs._x000a__x000a_2. no invisible work - all non-feature stories managed from Product Backlog._x000a__x000a_3. reformulating additional work items as user stories for Product Backlo"/>
  </r>
  <r>
    <n v="398317"/>
    <x v="5"/>
    <x v="1"/>
    <s v="Not mentioned"/>
    <s v="Not mentioned"/>
    <s v="Not mentioned"/>
    <x v="5"/>
    <x v="4"/>
    <s v="1. each story should be valuable independently_x000a_2. stand alone story for the person who needs to look at the audit data_x000a_3. non functional requirement/DoD on any other stories"/>
  </r>
  <r>
    <n v="41750"/>
    <x v="5"/>
    <x v="1"/>
    <s v="Not mentioned"/>
    <s v="Not mentioned"/>
    <s v="Not mentioned"/>
    <x v="3"/>
    <x v="2"/>
    <s v="1. splitting tasks into common once, common repeated, and specific for estimation._x000a__x000a_2. talking with PO and customers about architecture instead of just list of stories._x000a__x000a_3. adding dependency points to first story and noting order of dependent stories._x000a__x000a_4."/>
  </r>
  <r>
    <n v="147937"/>
    <x v="6"/>
    <x v="1"/>
    <s v="Not mentioned"/>
    <s v="Not mentioned"/>
    <s v="Team"/>
    <x v="3"/>
    <x v="2"/>
    <s v="1. breaking large user story into smaller stories delivering minimum value quickly._x000a__x000a_2. breaking down stories with 8 or more points into smaller stories._x000a__x000a_3. defining clear exit criteria for user stories._x000a__x000a_4. minimizing lag time between development and cl"/>
  </r>
  <r>
    <n v="31666"/>
    <x v="0"/>
    <x v="0"/>
    <s v="Scrum"/>
    <s v="Sprint"/>
    <s v="Not mentioned"/>
    <x v="10"/>
    <x v="1"/>
    <s v="1. improve your estimations to take that into account_x000a_2. Add team members when existing capacity cannot meet quality expectations._x000a_3. hiring more people gives you a chance to improve your processes_x000a_4. get your team to production size_x000a_5. testing as an expe"/>
  </r>
  <r>
    <n v="14189"/>
    <x v="5"/>
    <x v="1"/>
    <s v="Scrum"/>
    <s v="Not mentioned"/>
    <s v="Not mentioned"/>
    <x v="5"/>
    <x v="4"/>
    <s v="1. keeping dependent stories separate and delivering potentially shippable product._x000a__x000a_2. delivering small vertical slices of end-user value across architecture layers._x000a__x000a_3. independent stories can be released separately based on business value._x000a__x000a_4. keeping "/>
  </r>
  <r>
    <n v="403583"/>
    <x v="2"/>
    <x v="0"/>
    <s v="Scrum"/>
    <s v="Planning"/>
    <s v="Not mentioned"/>
    <x v="3"/>
    <x v="2"/>
    <s v="1. don't convert story points into money_x000a_2. story points do not convert to time_x000a_3. estimate how long it would take to do that particular chunk of work_x000a_4. Use story points as relative estimates, not as time or cost equivalents.                             "/>
  </r>
  <r>
    <n v="22001"/>
    <x v="4"/>
    <x v="1"/>
    <s v="Not mentioned"/>
    <s v="Not mentioned"/>
    <s v="Not mentioned"/>
    <x v="9"/>
    <x v="0"/>
    <s v="1. whole team and stakeholders agree on what estimating techniques measure_x000a__x000a_2. measure time directly_x000a__x000a_3. standup-to-standup timebox is a process control_x000a__x000a_4. story points are an intermediate value to estimate capacity_x000a__x000a_5. time estimations give a false feel"/>
  </r>
  <r>
    <n v="26673"/>
    <x v="4"/>
    <x v="1"/>
    <s v="Scrum"/>
    <s v="Not mentioned"/>
    <s v="Team"/>
    <x v="5"/>
    <x v="4"/>
    <s v="1. Avoid overbuilding by delivering only what is needed through vertical slices.                                                                                                                                                                               "/>
  </r>
  <r>
    <n v="25714"/>
    <x v="2"/>
    <x v="0"/>
    <s v="Scrum"/>
    <s v="Sprint"/>
    <s v="Not mentioned"/>
    <x v="3"/>
    <x v="2"/>
    <s v="1. biggest value to the user in the shortest time_x000a_2. not everything in the backlog has to be a User Story_x000a_3. backlog items should be close-ended_x000a_4. Prioritize early value delivery over complete or perfect solutions                                         "/>
  </r>
  <r>
    <n v="23855"/>
    <x v="0"/>
    <x v="0"/>
    <s v="Scrum"/>
    <s v="Sprint Planning"/>
    <s v="Not mentioned"/>
    <x v="10"/>
    <x v="1"/>
    <s v="1. Prefer flow-based approaches (e.g., Kanban) over fixed sprints when appropriate.                                                                                                                                                                            "/>
  </r>
  <r>
    <n v="30061"/>
    <x v="8"/>
    <x v="1"/>
    <s v="Not mentioned"/>
    <s v="Release Planning"/>
    <s v="Not mentioned"/>
    <x v="3"/>
    <x v="2"/>
    <s v="1. split that epic into stories and work on those stories_x000a_2. find out how many story points an epic has is by splitting it into stories_x000a_3. split large work items into finer details_x000a_4. relative sizing of items_x000a_5. put them in buckets of relative size"/>
  </r>
  <r>
    <n v="12641"/>
    <x v="3"/>
    <x v="1"/>
    <s v="Not mentioned"/>
    <s v="Not mentioned"/>
    <s v="Not mentioned"/>
    <x v="9"/>
    <x v="0"/>
    <s v="1. maintaining relationship between task and parent user story to convey value to customer._x000a__x000a_2. issue tracking and task tracking as distinct activities._x000a__x000a_3. creating GitHub milestones for features/user stories with associated issues for tasks."/>
  </r>
  <r>
    <n v="34041"/>
    <x v="8"/>
    <x v="1"/>
    <s v="Not mentioned"/>
    <s v="Not mentioned"/>
    <s v="Not mentioned"/>
    <x v="0"/>
    <x v="0"/>
    <s v="1. acceptance criteria are a bit too specific on implementation details_x000a_2. capture general rules that apply no matter the device_x000a_3. application needs to be responsive"/>
  </r>
  <r>
    <n v="232488"/>
    <x v="5"/>
    <x v="1"/>
    <s v="Scrum"/>
    <s v="Sprint Planning"/>
    <s v="Not mentioned"/>
    <x v="11"/>
    <x v="1"/>
    <s v="1. value not measured only in lines of shippable code._x000a__x000a_2. not getting hung up on scrum dogma if current approach delivers better software._x000a__x000a_3. scrum team must have all skills needed to create potentially releasable product._x000a__x000a_4. inspecting and adapting fr"/>
  </r>
  <r>
    <n v="118123"/>
    <x v="2"/>
    <x v="0"/>
    <s v="Scrum"/>
    <s v="Not mentioned"/>
    <s v="Not mentioned"/>
    <x v="3"/>
    <x v="2"/>
    <s v="1. Different purposes explain the poor correlation._x000a__x000a_2. 2: Assigning tasks based on the developer's skill level."/>
  </r>
  <r>
    <n v="20827"/>
    <x v="9"/>
    <x v="0"/>
    <s v="Scrum"/>
    <s v="Sprint Planning"/>
    <s v="Not mentioned"/>
    <x v="12"/>
    <x v="5"/>
    <s v="1. Iterative approach prioritizes high-value rework and enables faster delivery and feedback"/>
  </r>
  <r>
    <n v="392860"/>
    <x v="0"/>
    <x v="0"/>
    <s v="Scrum"/>
    <s v="Not mentioned"/>
    <s v="Not mentioned"/>
    <x v="5"/>
    <x v="4"/>
    <s v="1. don't break down the item_x000a_2. break down the item into smaller pieces_x000a_3. lean towards breaking it down"/>
  </r>
  <r>
    <n v="7953"/>
    <x v="0"/>
    <x v="0"/>
    <s v="Scrum"/>
    <s v="Sprint Planning"/>
    <s v="Not mentioned"/>
    <x v="8"/>
    <x v="5"/>
    <s v="1. demonstrating value of sharing user stories by simulating team member removal._x000a__x000a_2. retrospective to determine team bus factor._x000a__x000a_3. Leverage diverse team skills by involving multiple members in each story"/>
  </r>
  <r>
    <n v="127300"/>
    <x v="10"/>
    <x v="1"/>
    <s v="Not mentioned"/>
    <s v="Not mentioned"/>
    <s v="Not mentioned"/>
    <x v="7"/>
    <x v="4"/>
    <s v="1. writing user stories for reliability, security, and capacity._x000a__x000a__x000a_2. using activity diagrams and PERT diagrams to analyze feature dependencies._x000a__x000a__x000a_3. narrative/project charter as starting place for identifying user stories._x000a__x000a__x000a_4. understanding context befo"/>
  </r>
  <r>
    <n v="560"/>
    <x v="8"/>
    <x v="1"/>
    <s v="Scrum"/>
    <s v="Planning"/>
    <s v="Scrum Master"/>
    <x v="0"/>
    <x v="0"/>
    <s v="1. steel thread concept for specific user story requirements._x000a__x000a_2. Treat negative acceptance tests as user stories."/>
  </r>
  <r>
    <n v="8410"/>
    <x v="2"/>
    <x v="0"/>
    <s v="Scrum"/>
    <s v="Sprint Planning"/>
    <s v="Not mentioned"/>
    <x v="10"/>
    <x v="1"/>
    <s v="1. Manage estimation uncertainty by removing outliers, decomposing disputed tasks, and adapting backlog dynamically                                                                                                                                            "/>
  </r>
  <r>
    <n v="27494"/>
    <x v="6"/>
    <x v="1"/>
    <s v="Not mentioned"/>
    <s v="Sprint"/>
    <s v="Not mentioned"/>
    <x v="12"/>
    <x v="5"/>
    <s v="1. Maintain progress by switching to unblocked work_x000a_2. stay idle while they expect an answer_x000a_3. work on getting your customer more involved"/>
  </r>
  <r>
    <n v="234758"/>
    <x v="1"/>
    <x v="0"/>
    <s v="Not mentioned"/>
    <s v="Sprint Planning"/>
    <s v="Team"/>
    <x v="3"/>
    <x v="2"/>
    <s v="1. doing UI design, coding, and testing in same sprint or splitting across sprints._x000a__x000a_2. design/UI stories in one sprint and coding in the next._x000a__x000a_3. estimates only need to be consistent over time, not necessarily accurate."/>
  </r>
  <r>
    <n v="315641"/>
    <x v="2"/>
    <x v="0"/>
    <s v="Scrum"/>
    <s v="Sprint Planning"/>
    <s v="Not mentioned"/>
    <x v="2"/>
    <x v="1"/>
    <s v="1. Dev and testing overlap challenges story completion within a sprint.                                                                                                                                                                                        "/>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5637"/>
    <s v="Process/workflow issues around user stories"/>
    <s v="User Story Process Issues"/>
    <s v="Not mentioned"/>
    <s v="Sprint"/>
    <s v="Not mentioned"/>
    <x v="0"/>
    <x v="0"/>
    <s v="1. QA must be complete to call a user story done_x000a_2. 2. QA must be part of DoD to mark stories as done._x000a_3. bring in QA within your sprint and not as a separate stage"/>
  </r>
  <r>
    <n v="18301"/>
    <s v="Process/workflow issues around user stories"/>
    <s v="User Story Process Issues"/>
    <s v="Kanban"/>
    <s v="Not mentioned"/>
    <s v="Not mentioned"/>
    <x v="1"/>
    <x v="1"/>
    <s v="1. planning at task/story level instead of epic level to balance work and transition between epics."/>
  </r>
  <r>
    <n v="31614"/>
    <s v="UX/UI integration challenges around user stories"/>
    <s v="User Story Process Issues"/>
    <s v="Scrum"/>
    <s v="Sprint Planning"/>
    <s v="Not mentioned"/>
    <x v="2"/>
    <x v="1"/>
    <s v="1. misunderstanding that the current iteration is the only place things happen_x000a_2. designer should work ahead of the developers_x000a_3. designer doesn't become a bottleneck_x000a_4. try to avoid waste_x000a_5. UX/BA tasks are part of the sprint_x000a_6. job of UX is to prepare t"/>
  </r>
  <r>
    <n v="11247"/>
    <s v="Difficulties in estimating user stories"/>
    <s v="User Story Process Issues"/>
    <s v="Scrum"/>
    <s v="Planning"/>
    <s v="Not mentioned"/>
    <x v="3"/>
    <x v="2"/>
    <s v="1. point value determined by environmental factors and team, not time or cost._x000a_2. Leverage past stories as reference points for new estimates.                                                                                                                 "/>
  </r>
  <r>
    <n v="240325"/>
    <s v="User stories framed as solutions or technical tasks"/>
    <s v="User Story Artifact Issues"/>
    <s v="Scrum"/>
    <s v="Sprint"/>
    <s v="Not mentioned"/>
    <x v="4"/>
    <x v="3"/>
    <s v="1. front-end and back-end as a single story._x000a__x000a_2. dividing story into tasks owned by different developers._x000a__x000a_3. including QA-assigned tasks in the same story._x000a__x000a_4. breaking use-case into smaller end-to-end features for quicker feedback._x000a__x000a_5. splitting story b"/>
  </r>
  <r>
    <n v="396625"/>
    <s v="Difficulties in estimating user stories"/>
    <s v="User Story Process Issues"/>
    <s v="Not mentioned"/>
    <s v="Not mentioned"/>
    <s v="Not mentioned"/>
    <x v="3"/>
    <x v="2"/>
    <s v="1. Use story points and velocity for team-level planning, not external forecasting                                                                                                                                                                             "/>
  </r>
  <r>
    <n v="323107"/>
    <s v="Process/workflow issues around user stories"/>
    <s v="User Story Process Issues"/>
    <s v="Scrum"/>
    <s v="Not mentioned"/>
    <s v="Not mentioned"/>
    <x v="4"/>
    <x v="3"/>
    <s v="1. scrum enabling self-directed team with no universal right way to write stories._x000a__x000a_2. tasks must work for the team doing the work._x000a__x000a_3. figuring out what works best for your team, product, and environment._x000a__x000a_4.  Use short cycles of practice and retrospecti"/>
  </r>
  <r>
    <n v="228110"/>
    <s v="Poor decomposition and granularity of user stories"/>
    <s v="User Story Artifact Issues"/>
    <s v="Not mentioned"/>
    <s v="Not mentioned"/>
    <s v="Not mentioned"/>
    <x v="5"/>
    <x v="4"/>
    <s v="1. distinguishing between slicing by individual vs team responsibilities._x000a__x000a_2. full-stack developers as most efficient way to work vertically with pair programming across layers._x000a__x000a_3. secondary structures helping mitigate drawbacks of vertical or horizontal"/>
  </r>
  <r>
    <n v="231273"/>
    <s v="User stories framed as solutions or technical tasks"/>
    <s v="User Story Artifact Issues"/>
    <s v="Not mentioned"/>
    <s v="Backlog refinament"/>
    <s v="Team"/>
    <x v="6"/>
    <x v="5"/>
    <s v="1. talking directly to customers and end users._x000a__x000a_2. getting involved earlier in the process after sales and with BAs._x000a__x000a_3. working through project manager to get in meetings with customer to discuss requirements._x000a__x000a_4. keep asking questions until fully under"/>
  </r>
  <r>
    <n v="3017"/>
    <s v="User stories lacking user value orientation"/>
    <s v="User Story Artifact Issues"/>
    <s v="Scrum"/>
    <s v="Not mentioned"/>
    <s v="Not mentioned"/>
    <x v="5"/>
    <x v="4"/>
    <s v="1. design work done in sprint._x000a__x000a_2. design as separate stories._x000a__x000a__x000a_4. focusing on development effort rather than analysis, UI design, and testing._x000a__x000a_5. analysts and designers working a sprint ahead of developers._x000a__x000a_6. keeping things easy to change for lightwe"/>
  </r>
  <r>
    <n v="194180"/>
    <s v="Lack of clarity and completeness in user stories"/>
    <s v="User Story Artifact Issues"/>
    <s v="XP"/>
    <s v="Not mentioned"/>
    <s v="Not mentioned"/>
    <x v="3"/>
    <x v="2"/>
    <s v="1. fill in those blanks as early as possible_x000a_3. keep the stories as small as possible_x000a_4. get user feedback even more early_x000a_5. agile practices should be adapted to the needs and the culture_x000a_6. discuss your concerns with your fellow developers_x000a_7. good user "/>
  </r>
  <r>
    <n v="127213"/>
    <s v="Lack of clarity and completeness in user stories"/>
    <s v="User Story Artifact Issues"/>
    <s v="Not mentioned"/>
    <s v="Not mentioned"/>
    <s v="Product owner"/>
    <x v="7"/>
    <x v="4"/>
    <s v="2. great user stories require Quality Assurance and definition of greatness._x000a_3. assuring user stories meet quality standards before estimating._x000a_4. bad user stories can be reworked to improve quality._x000a_6. splitting epics into smaller stories for better esti"/>
  </r>
  <r>
    <n v="25744"/>
    <s v="Lack of clarity and completeness in user stories"/>
    <s v="User Story Artifact Issues"/>
    <s v="BDD"/>
    <s v="Not mentioned"/>
    <s v="Not mentioned"/>
    <x v="8"/>
    <x v="5"/>
    <s v="1. registered web client calls Foo(int id) method to get a list of Bars_x000a_2. registered web client calls Foo(int id) method with an invalid ID"/>
  </r>
  <r>
    <n v="25196"/>
    <s v="Process/workflow issues around user stories"/>
    <s v="User Story Process Issues"/>
    <s v="Kanban"/>
    <s v="Not mentioned"/>
    <s v="Not mentioned"/>
    <x v="4"/>
    <x v="3"/>
    <s v="1. use job stories instead_x000a_2. shouldn't expect to understand everything from the summary_x000a_3. see summaries as pointers_x000a_4. group stories beneath an Epic"/>
  </r>
  <r>
    <n v="354302"/>
    <s v="Process/workflow issues around user stories"/>
    <s v="User Story Process Issues"/>
    <s v="Not mentioned"/>
    <s v="Not mentioned"/>
    <s v="Not mentioned"/>
    <x v="8"/>
    <x v="5"/>
    <s v="1 - user story is not the same as a requirement_x000a__x000a_2 - break down user stories into tasks_x000a__x000a_3 - user stories focused on what and why, not how_x000a__x000a_4 - avoid shortcuts through the process_x000a__x000a_5 5 - improve understanding of differences between requirements and user s"/>
  </r>
  <r>
    <n v="340712"/>
    <s v="Process/workflow issues around user stories"/>
    <s v="User Story Process Issues"/>
    <s v="Lean Start-up"/>
    <s v="Not mentioned"/>
    <s v="Not mentioned"/>
    <x v="9"/>
    <x v="0"/>
    <s v="1. Evaluate sub-workflows to determine appropriate approaches for architecture-oriented work"/>
  </r>
  <r>
    <n v="8679"/>
    <s v="Lack of product/domain knowledge"/>
    <s v="User Story Artifact Issues"/>
    <s v="Scrum"/>
    <s v="Sprint Planning"/>
    <s v="Scrum Master"/>
    <x v="2"/>
    <x v="1"/>
    <s v="1. increasing estimate accuracy with PO participation, training, documentation, and spikes._x000a__x000a_2. all stories must be estimated._x000a__x000a_3. estimates as accurate as possible within sprint planning time-box._x000a__x000a_4. estimates should include uncertainty._x000a__x000a_5. using spike"/>
  </r>
  <r>
    <n v="9878"/>
    <s v="Process/workflow issues around user stories"/>
    <s v="User Story Process Issues"/>
    <s v="Scrum"/>
    <s v="Sprint Planning"/>
    <s v="Team"/>
    <x v="4"/>
    <x v="3"/>
    <s v="1. all work including bugs, training, and research managed from Product Backlog to avoid hidden costs._x000a__x000a_2. no invisible work - all non-feature stories managed from Product Backlog._x000a__x000a_3. reformulating additional work items as user stories for Product Backlo"/>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25637"/>
    <s v="Project Management"/>
    <m/>
    <s v="https://pm.stackexchange.com/questions/"/>
    <s v="Is QA stage mandatory to be included into user story cycle?"/>
    <s v="CA: Discussão apta para análise (discussão que aborda problemas com user stories)"/>
    <n v="2019"/>
    <n v="2019"/>
    <s v="New York"/>
    <s v="Quando considerar uma história como concluída"/>
    <s v="Dúvida sobre considerar uma história concluída quando o desenvolvimento termina, mas o teste (QA) ainda é necessário"/>
    <s v="Definition Of Done"/>
    <s v="Should the &quot;QA COMPLETED&quot; condition be included into the Definition Of Done?'"/>
    <s v="Process/workflow issues around user stories"/>
    <s v="User Story related Issues"/>
    <s v="So at the end of the Sprint I usually have several user stories under QA, so should I mark them as completed, or not? 'Should the &quot;QA COMPLETED&quot; condition be included into the Definition Of Done?')"/>
    <s v="&quot;A particular user story has just been completed (and has unit tests) What next? Testing takes time [...] so should I mark them as completed, or not?&quot;"/>
    <s v="?"/>
    <s v="Scrum"/>
    <s v="Scrum"/>
    <s v="Metodologia não mencionada diretamente"/>
    <x v="0"/>
    <s v="Metodologia não mencionada diretamente"/>
    <s v="A 2-week Sprint is close to the end (let's say 80% of the time has passed by)"/>
    <s v="&quot;A 2-week Sprint is close to the end&quot;"/>
    <s v="OK"/>
    <s v="Sprint"/>
    <s v="Final da Sprint"/>
    <s v="Final da Sprint"/>
    <x v="0"/>
    <s v="&quot;at the end of the last 2 sprints&quot;"/>
    <s v="A 2-week Sprint is close to the end (let's say 80% of the time has passed by)"/>
    <s v="&quot;at the end of the last 2 sprints&quot;"/>
    <s v="?"/>
    <s v="Não mencionado"/>
    <s v="Não mencionado"/>
    <s v="Não mencionado"/>
    <x v="0"/>
    <s v="-"/>
    <s v="O autor menciona US em fase de testes, mas não fica claro se ele que realiza os testes ou se ele está esperando eles serem realizados"/>
    <s v="-"/>
    <s v="?"/>
    <s v="Risco de incremento não realmente pronto ao final da Sprint"/>
    <s v="Acúmulo de histórias pendentes de validação no fechamento da iteração"/>
    <s v="Acúmulo de histórias pendentes de validação no fechamento da iteração"/>
    <s v="Accumulation of user stories pending validation at the end of the iteration"/>
    <s v="Quality assurance and validation issues"/>
    <s v="Structural &amp; Quality Effects"/>
    <s v="Structural &amp; Quality Effects"/>
    <s v="should I mark them as completed, or not? "/>
    <s v="&quot;So at the end of the Sprint I usually have several user stories under QA&quot;"/>
    <s v="?"/>
    <s v="1. QA must be complete to call a user story done_x000a_2. 2. QA must be part of DoD to mark stories as done._x000a_3. bring in QA within your sprint and not as a separate stage"/>
    <m/>
    <s v="1. QA must be complete to call a user story done_x000a_2. should be in your definition of done_x000a_3. bring in QA within your sprint and not as a separate stage"/>
    <s v="1 - The direct answer for almost all teams is that QA must be complete to call a user story done._x000a__x000a_2 - So, the more complete answer to your question would be: If QA tests must run and pass before your product can be shipped to end users, then it should be"/>
    <m/>
    <n v="34"/>
    <s v="1. QA must be complete to call a user story done. In Scrum, a product increment must be 'potentially shippable' -- the decision to ship should be a business decision. If there are technical reasons why the product can't be shipped (bugs, not QA'd, not in "/>
    <s v="1 - The direct answer for almost all teams is that QA must be complete to call a user story done._x000a__x000a_2 - So, the more complete answer to your question would be: If QA tests must run and pass before your product can be shipped to end users, then it should be"/>
  </r>
  <r>
    <n v="18301"/>
    <s v="Project Management"/>
    <m/>
    <s v="https://pm.stackexchange.com/questions/"/>
    <s v="How to eliminate wasted time / improve cadence on epic boundaries"/>
    <s v="CA: Discussão apta para análise (discussão que aborda problemas com user stories)"/>
    <n v="2016"/>
    <n v="2016"/>
    <s v="Praga, República Tcheca"/>
    <s v="Transição entre épicos"/>
    <s v="Tempo perdido entre epicos"/>
    <s v="time lost between epics"/>
    <s v="time lost between epics"/>
    <s v="Process/workflow issues around user stories"/>
    <s v="User Story related Issues"/>
    <s v="The problem I've noticed is that there seems to be a lot of time wasted on the boundary between epics. Towards the end of work on an epic, we get increasingly blocked by lack of tasks we can work on or dependencies."/>
    <s v="&quot;The problem I've noticed is that there seems to be a lot of time wasted on the boundary between epics.&quot;"/>
    <s v="OK"/>
    <s v="Kanban (similar)"/>
    <s v="Kanban"/>
    <s v="Kanban"/>
    <x v="1"/>
    <s v="A process similar to Kanban, but without sprints with defined times."/>
    <s v="Our team works in a kanban-ish process [...] There are no time-boxed sprints. "/>
    <s v="&quot;Our team works in a kanban-ish process where we pull stories from the epic...&quot;"/>
    <s v="OK"/>
    <s v="Não mencionado"/>
    <s v="Não mencionado"/>
    <s v="Não mencionado"/>
    <x v="1"/>
    <s v="-"/>
    <s v="-"/>
    <s v="-"/>
    <s v="OK"/>
    <s v="Não mencionado"/>
    <s v="Não mencionado"/>
    <s v="Não mencionado"/>
    <x v="0"/>
    <s v="-"/>
    <s v="-"/>
    <s v="-"/>
    <s v="-"/>
    <s v="Tempo desperdiçado / bloqueios"/>
    <s v="Atraso/bloqueio por tarefas ou dependencias"/>
    <s v="Atraso/bloqueio por tarefas ou dependencias"/>
    <s v="Delay/blockage due to tasks or dependencies"/>
    <s v="Delays/blockages due to tasks or dependencies"/>
    <s v="Process &amp; Workflow Effects"/>
    <s v="blocked by dependencies towards end of epic"/>
    <s v="there seems to be a lot of time wasted [...] we get increasingly blocked"/>
    <s v="&quot;Towards the end of work on an epic, we get increasingly blocked by lack of tasks we can work on or dependencies.&quot;"/>
    <s v="OK"/>
    <m/>
    <m/>
    <s v="1. planning at task/story level instead of epic level to balance work and transition between epics."/>
    <s v="1. The solution was simple. Stop planning around epics and instead plan at the task or story level. At this finer level of detail it is easier for the team to balance its work. For example, they would often mix the start of a new epic with the end of the "/>
    <m/>
    <n v="22"/>
    <s v="1. The solution was simple. Stop planning around epics and instead plan at the task or story level. At this finer level of detail it is easier for the team to balance its work. For example, they would often mix the start of a new epic with the end of the "/>
    <s v="1 - Stop planning around epics and instead plan at the task or story level."/>
  </r>
  <r>
    <n v="31614"/>
    <s v="Project Management"/>
    <m/>
    <s v="https://pm.stackexchange.com/questions/"/>
    <s v="How to incorporate UX/UI in sprint correctly when mockups are required to estimate a story?"/>
    <s v="CA: Discussão apta para análise (discussão que aborda problemas com user stories)"/>
    <n v="2021"/>
    <n v="2021"/>
    <s v="Não consta"/>
    <s v="Como integrar UX/UI ao Scrum sem virar waterfall"/>
    <s v="Dependência de mockups para estimativa; Dificuldade com UX/UI e histórias"/>
    <s v="user story for design"/>
    <s v="I'm struggling to figure out a way to handle UX/UI in an agile way; _x000a__x000a_It takes so long for the designer to deliver the designs for the story that the devs don't have time to implement the story in the sprint anymore"/>
    <s v="UX/UI integration challenges around user stories"/>
    <s v="User Story related Issues"/>
    <s v="I'm struggling to figure out a way to handle UX/UI in an agile way. It takes so long for the designer to deliver the designs... how do you manage this in SCRUM?"/>
    <s v="&quot;The devs need at least some wireframes/sketches to understand the requirements and be able to estimate accurately_x000a_It takes so long for the designer to deliver the designs for the story that the devs don't have time to implement the story in the sprint an"/>
    <s v="?"/>
    <s v="Scrum"/>
    <s v="Agile / Scrum"/>
    <s v="Scrum"/>
    <x v="2"/>
    <s v="how do you manage this in SCRUM? our 2-weeks sprint iterations."/>
    <s v="how do you manage this in SCRUM? our 2-weeks sprint iterations."/>
    <s v="&quot;I'm struggling to figure out a way to handle UX/UI in an agile way [...] how do you manage this in SCRUM?&quot;"/>
    <s v="OK"/>
    <s v="Sprint / Sprint Planning"/>
    <s v="Sprint planning"/>
    <s v="Sprint planning"/>
    <x v="2"/>
    <s v="before the story can be put in the sprint backlog"/>
    <s v="before the story can be put in the sprint backlog... add them to the sprint backlog"/>
    <s v="&quot;I've thought about getting at the very least the wireframes before the story can be put in the sprint backlog,&quot;"/>
    <s v="OK"/>
    <s v="Não informado explicitamente"/>
    <s v="Não mencionado"/>
    <s v="Não mencionado"/>
    <x v="0"/>
    <s v="-"/>
    <s v="O autor menciona os designers e desenvolvedores, mas não se identifica como nenhum deles"/>
    <s v="-"/>
    <s v="?"/>
    <s v="Bloqueio da implementação e risco de mini-waterfall"/>
    <s v="Falha na estrega"/>
    <s v="Bloqueio da implementação e risco de mini-waterfall"/>
    <s v="mplementation blockage and risk of mini-waterfall"/>
    <s v="Workflow disruption and delivery blockage"/>
    <s v="Process &amp; Workflow Effects"/>
    <s v="fail deliver story"/>
    <s v=" the devs wouldn't be able to deliver their side of the story. I feel like this is more a waterfall than an agile approach."/>
    <s v="&quot; the devs don't have time to implement the story in the sprint anymore.&quot;"/>
    <s v="?"/>
    <m/>
    <s v="1. Agile is not restricted to sprint-only planning or execution                                                                                                                                                                                                "/>
    <s v="1. misunderstanding that the current iteration is the only place things happen_x000a_2. designer should work ahead of the developers_x000a_3. designer doesn't become a bottleneck_x000a_4. try to avoid waste_x000a_5. UX/BA tasks are part of the sprint_x000a_6. job of UX is to prepare t"/>
    <s v="1 - I think there is a misunderstanding here, which is that in Agile there isn't any &quot;upfront anything&quot; and that the current iteration is the only place that things must happen. If this misunderstanding exists, people try to plan and do work only for the "/>
    <m/>
    <n v="39"/>
    <s v="1. If the designs are complex and take time to be built and it's essential for the developers to know how they look like to estimate, then obviously you need the designs before you plan your current sprint. The designer should work ahead of the developers"/>
    <s v="1 - I think there is a misunderstanding here, which is that in Agile there isn't any &quot;upfront anything&quot; and that the current iteration is the only place that things must happen. If this misunderstanding exists, people try to plan and do work only for the "/>
  </r>
  <r>
    <n v="11247"/>
    <s v="Project Management"/>
    <m/>
    <s v="https://pm.stackexchange.com/questions/"/>
    <s v="Why not use costs instead of story points for estimation?"/>
    <s v="CA: Discussão apta para análise (discussão que aborda problemas com user stories)"/>
    <n v="2014"/>
    <n v="2014"/>
    <s v="Não consta"/>
    <s v="Estimativa baseada custo"/>
    <s v="Conversão de complexidade em métrica financeira"/>
    <s v="cost-based estimate"/>
    <s v="Estimate user story based on costs."/>
    <s v="Difficulties in estimating user stories"/>
    <s v="User Story related Issues"/>
    <s v="What would be the disadvantage of using such a scheme for estimating tickets? Has anyone tried estimating tickets based on costs within scrum?"/>
    <s v="&quot;instead of using story points to estimate stories/tickets, one could use the following schema to estimate tickets from lowest to highest complexity: 50$, 100$, 200$...&quot;"/>
    <s v="?"/>
    <s v="Scrum"/>
    <s v="Scum"/>
    <s v="Scrum"/>
    <x v="2"/>
    <s v="scheme for estimating user stories in Scrum"/>
    <s v="Has anyone tried estimating tickets based on costs within scrum?"/>
    <s v="&quot;I propose the following scheme for estimating user stories in a scrum process:&quot;"/>
    <s v="?"/>
    <s v="Sprint (contexto de estimativa)"/>
    <s v="Ritual de Estimativa e Planejamento"/>
    <s v="Sprint (contexto de estimativa)"/>
    <x v="3"/>
    <s v="programmer capacity in a two-week sprint"/>
    <s v=" In a two week sprint, a single programmer can work for 80 hours"/>
    <s v="&quot;In a two week sprint, a single programmer can work for 80 hours&quot;"/>
    <s v="OK"/>
    <s v="Não mencionado"/>
    <s v="Não mencionado"/>
    <s v="Não mencionado"/>
    <x v="0"/>
    <s v="-"/>
    <s v="-"/>
    <s v="-"/>
    <s v="OK"/>
    <s v="Possíveis desvantagens"/>
    <s v="Bugs nao podem ser estimados"/>
    <s v="Bugs não podem ser estimados"/>
    <s v="Bugs cannot be estimated"/>
    <s v="Estimation uncertainty and inaccuracy"/>
    <s v="Planning &amp; Estimation Effects"/>
    <s v="fixed cost for unestimable bugs"/>
    <s v="What would be the disadvantage of using such a scheme for estimating tickets?"/>
    <s v="&quot;One could also add that bugs cannot be estimated, so we might give them always a cost in the middle of the scheme of 400$.&quot;"/>
    <s v="&quot;One could also add that bugs cannot be estimated, so we might give them always a cost in the middle of the scheme of 400$.&quot;"/>
    <s v="1. point value determined by environmental factors and team, not time or cost._x000a_2. Leverage past stories as reference points for new estimates.                                                                                                                 "/>
    <s v="2. Leverage past stories as reference points for new estimates.                                                                                                                                                                                                "/>
    <s v="1. point value determined by environmental factors and team, not time or cost._x000a__x000a_2. estimating new stories by comparing to previously completed similar stories._x000a__x000a_3. stories not estimated in terms of effort, so dollars are not appropriate._x000a__x000a_4. dollars not a"/>
    <s v="1 - The common error is to assign a time or cost value to a point, but in reality the value is determined by environmental factors and teams actually doing the work._x000a__x000a_2 - So, if you are estimating a group of stories based on previously completed stories.."/>
    <m/>
    <n v="15"/>
    <s v="1. The common error is to assign a time or cost value to a point. The value is determined by environmental factors and teams actually doing the work. Story points have no time or cost tied to them and inform you of the ACTUAL capacity (velocity) of a team"/>
    <s v="1 - The common error is to assign a time or cost value to a point, but in reality the value is determined by environmental factors and teams actually doing the work._x000a__x000a_2 - So, if you are estimating a group of stories based on previously completed stories.."/>
  </r>
  <r>
    <n v="240325"/>
    <s v="Software Engineering"/>
    <m/>
    <s v="https://softwareengineering.stackexchange.com/questions/"/>
    <s v="Should a user story be shared between developers?"/>
    <s v="CA: Discussão apta para análise (discussão que aborda problemas com user stories)"/>
    <n v="2014"/>
    <n v="2014"/>
    <s v="Cary, Carolina do Norte, EUA"/>
    <s v="Responsabilidade e divisão"/>
    <s v="Ambiguidade na titularidade da entrega"/>
    <m/>
    <s v="story status and back-end/front-end split"/>
    <s v="User stories framed as solutions or technical tasks"/>
    <s v="User Story Issues"/>
    <s v="Who &quot;owns&quot; which story? What does &quot;in progress&quot; mean or &quot;done&quot;? Should we make two separate stories for back-end and front-end? If so, doesn't that break the idea of user stories based on feature? "/>
    <s v="&quot;Who 'owns' which story? What does 'in progress' mean or 'done'?&quot;"/>
    <s v="OK"/>
    <s v="Scrum"/>
    <s v="Scrum"/>
    <s v="Scrum"/>
    <x v="2"/>
    <s v="doubt about the use of scrum"/>
    <s v=" Is this a &quot;bad&quot; way to use Scrum?"/>
    <s v="&quot;Is this a 'bad' way to use Scrum?&quot;"/>
    <s v="OK"/>
    <s v="Sprint "/>
    <s v="Gestão de Ciclo de Sprint"/>
    <s v="Sprint "/>
    <x v="0"/>
    <s v="developers focusing on delivery by end of sprint"/>
    <s v="can focus their attention to get their part done by the end of the sprint."/>
    <s v="&quot;the two developers can focus their attention to get their part done by the end of the sprint.&quot;"/>
    <s v="OK"/>
    <s v="Não mencionado"/>
    <s v="Não mencionado"/>
    <s v="Não mencionado"/>
    <x v="0"/>
    <s v="-"/>
    <s v="-"/>
    <s v="-"/>
    <s v="OK"/>
    <s v="Caos organizacional"/>
    <s v="Caos organizacional e perda de rastreabilidade"/>
    <s v="Caos organizacional e perda de rastreabilidade"/>
    <s v="Organizational chaos and loss of traceability"/>
    <s v="Organizational and backlog management issues"/>
    <s v="Organizational &amp; Management Effects"/>
    <s v="sub-tasks adding extra complexity"/>
    <s v="Then comes the chaos. "/>
    <s v="&quot;Then comes the chaos. [...] sub-tasks add an extra complexity.&quot;"/>
    <s v="OK"/>
    <m/>
    <m/>
    <s v="1. front-end and back-end as a single story._x000a__x000a_2. dividing story into tasks owned by different developers._x000a__x000a_3. including QA-assigned tasks in the same story._x000a__x000a_4. breaking use-case into smaller end-to-end features for quicker feedback._x000a__x000a_5. splitting story b"/>
    <s v="1 - In your case, I think both front-end and back-end should be a single story._x000a__x000a_2 - Divide it into tasks. The developers own their different tasks._x000a__x000a_3 - Make sure you include QA-assigned tasks in the same story - without validation a story is useless._x000a__x000a_4"/>
    <m/>
    <n v="14"/>
    <s v="1. Both front-end and back-end should be a single story. Divide it into tasks. The developers own their different tasks. These tasks can be individually tracked through their phases. Make sure you include QA-assigned tasks in the same story. Only then sho"/>
    <s v="1 - In your case, I think both front-end and back-end should be a single story._x000a__x000a_2 - Divide it into tasks. The developers own their different tasks._x000a__x000a_3 - Make sure you include QA-assigned tasks in the same story - without validation a story is useless._x000a__x000a_4"/>
  </r>
  <r>
    <n v="396625"/>
    <s v="Software Engineering"/>
    <m/>
    <s v="https://softwareengineering.stackexchange.com/questions/"/>
    <s v="Product Backlog items estimation - How to avoid estimations in hours when there is no team velocity and team is new?"/>
    <s v="CA: Discussão apta para análise (discussão que aborda problemas com user stories)"/>
    <n v="2019"/>
    <n v="2019"/>
    <s v="Não consta"/>
    <s v="Conflito entre estimar em Story Points vs. horas/dias"/>
    <s v="Dificuldade em estimar User Stories"/>
    <s v="user stories, product backlog, estimate"/>
    <s v="We have the user stories stacked in the product backlog and now we need to estimate them."/>
    <s v="Difficulties in estimating user stories"/>
    <s v="User Story related Issues"/>
    <s v="The project manager wants to estimate in days/hours these user stories. I believe that's not a good idea."/>
    <s v="&quot;The project manager wants to know when the project will be finished. We have the user stories stacked in the product backlog and now we need to estimate them.&quot;"/>
    <s v="OK"/>
    <s v="Scrum (subtendido)"/>
    <s v="Scrum (subtendido)"/>
    <s v="Não mencionado diretamente"/>
    <x v="0"/>
    <s v="Não mencionado diretamente"/>
    <s v="I want to estimate them in story points and to track the team's performance throughout the sprints"/>
    <s v="I want to estimate them in story points and to track the team's performance throughout the sprints"/>
    <s v="OK"/>
    <s v="Sprint Planning (implícita)"/>
    <s v="Sprint Planning (implícita)"/>
    <s v="Sprint Planning (implícita)"/>
    <x v="1"/>
    <m/>
    <s v="so there is no velocity that can be used for further sprint planning."/>
    <s v="so there is no velocity that can be used for further sprint planning."/>
    <s v="OK"/>
    <s v="Não mencionado"/>
    <s v="Não mencionado"/>
    <s v="Não mencionado"/>
    <x v="0"/>
    <s v="-"/>
    <s v="O autor menciona o PM e que quer acompanhar o desempenho da equipe, então ele não é/não faz parte de nenhum dos dois. Ele pode ser o Scrum Master, mas não está explicito"/>
    <s v="-"/>
    <s v="?"/>
    <s v="Pressão por previsibilidade sem histórico de velocidade"/>
    <s v="Conflito metodológico entre estimar histórias por tempo (horas/dias) ou por complexidade (pontos)"/>
    <s v="Conflito metodológico entre estimar histórias por tempo (horas/dias) ou por complexidade (pontos)"/>
    <s v="Methodological conflict between estimating stories by time (hours/days) versus complexity (story points)"/>
    <s v="Estimation uncertainty and inaccuracy"/>
    <s v="Planning &amp; Estimation Effects"/>
    <s v="estimate user stories in days/hours"/>
    <s v="They are a new team so there is no velocity... we need to estimate them."/>
    <s v="&quot;The project manager wants to estimate in days/hours these user stories. I believe that's not a good idea.&quot;"/>
    <s v="?"/>
    <s v="1. Use story points and velocity for team-level planning, not external forecasting                                                                                                                                                                             "/>
    <s v="1. Use story points and velocity for team-level planning, not external forecasting                                                                                                                                                                             "/>
    <s v="1. help a team plan their next Sprint_x000a_2. focus on value delivery"/>
    <s v="1 - Using Story Points and Velocity is not for management to plan on when a project is going to be done. They aren't for anyone outside of the team. These concepts exist to help a team plan their next Sprint, to provide a reasonable sanity check that they"/>
    <m/>
    <n v="32"/>
    <s v="1. Using Story Points and Velocity is not for management to plan on when a project is going to be done. They aren't for anyone outside of the team. These concepts exist to help a team plan their next Sprint, to provide a reasonable sanity check that they "/>
    <s v="1 - Using Story Points and Velocity is not for management to plan on when a project is going to be done. They aren't for anyone outside of the team. These concepts exist to help a team plan their next Sprint, to provide a reasonable sanity check that they"/>
  </r>
  <r>
    <n v="323107"/>
    <s v="Software Engineering"/>
    <m/>
    <s v="Newest Questions - Software Engineering Stack Exchange"/>
    <s v="Scrum: Product Backlogs and Tasks"/>
    <s v="CA: Discussão apta para análise (discussão que aborda problemas com user stories)"/>
    <n v="2016"/>
    <n v="2016"/>
    <s v="Utah, Estados Unidos"/>
    <s v="Especialização vs tarefas"/>
    <s v="Times em uma unica task"/>
    <s v="teams in a single task"/>
    <s v="Is there a different way tasks should be written so that it relates to just one of my team members?"/>
    <s v="Process/workflow issues around user stories"/>
    <s v="User Story related Issues"/>
    <s v="So for the tasks above it seems like all three team members are going to be working on one tasks when only one member should be assigned to one task.[...]  Is there a different way tasks should be written so that it relates to just one of my team members?"/>
    <s v="&quot;it seems like all three team members are going to be working on one tasks when only one member should be assigned to one task.&quot;"/>
    <s v="OK"/>
    <s v="Scrum"/>
    <s v="Scrum"/>
    <s v="Scrum"/>
    <x v="2"/>
    <s v="Scrum Shortcuts Without Cutting Corners"/>
    <s v="&quot;I have been reading the book, Scrum Shortcuts Without Cutting Corners&quot;"/>
    <s v="&quot;I have been reading the book, Scrum Shortcuts Without Cutting Corners&quot;"/>
    <s v="?"/>
    <s v="Não mencionado"/>
    <s v="Não mencionado"/>
    <s v="Não mencionado"/>
    <x v="1"/>
    <s v="-"/>
    <s v="-"/>
    <s v="-"/>
    <s v="OK"/>
    <s v="Não mencionado"/>
    <s v="Não mencioando"/>
    <s v="Não mencionado"/>
    <x v="0"/>
    <s v="-"/>
    <s v="O autor menciona o papel de design, front-end e na API, mas não se  coloca como nenhum deles"/>
    <s v="-"/>
    <s v="O autor menciona o papel de design, front-end e na API, mas não se  coloca como nenhum deles"/>
    <s v="Confusão organizacional"/>
    <s v="Parecer estar andando em circulos"/>
    <s v="Confusão organizacional"/>
    <s v="Organizational confusion"/>
    <s v="Organizational and backlog management issues"/>
    <s v="Organizational &amp; Management Effects"/>
    <s v="difficulties in implementing agile methodologies"/>
    <s v="I am just super confused about this. [...]  I want to be as agile as possible but it seems like I am running into walls."/>
    <s v="&quot;&quot;I want to be as agile as possible but it seems like I am running into walls.&quot;&quot;"/>
    <s v="OK"/>
    <m/>
    <s v="4.  Use short cycles of practice and retrospectives to learn and refine the process."/>
    <s v="1. scrum enabling self-directed team with no universal right way to write stories._x000a__x000a_2. tasks must work for the team doing the work._x000a__x000a_3. figuring out what works best for your team, product, and environment._x000a__x000a_4. doing it by the book for one sprint, then ret"/>
    <s v="1 - The goal of scrum is to enable the team to be self-directed. There is no universal right way to write stories and tasks. The goal is for the team to work together to accomplish a task._x000a__x000a_2 - Since it is the team that has to do the work, the tasks that "/>
    <m/>
    <n v="21"/>
    <s v="1. There is no universal right way to write stories and tasks. Since it is the team that has to do the work, the tasks that you develop must work for your team. If you are just getting started, do it by the book for one sprint. Maybe two. Do your retrospe"/>
    <s v="1 - The goal of scrum is to enable the team to be self-directed. There is no universal right way to write stories and tasks. The goal is for the team to work together to accomplish a task._x000a__x000a_2 - Since it is the team that has to do the work, the tasks that "/>
  </r>
  <r>
    <n v="228110"/>
    <s v="Software Engineering"/>
    <m/>
    <s v="https://softwareengineering.stackexchange.com/questions/"/>
    <s v="Disadvantages of vertical user stories"/>
    <s v="CA: Discussão apta para análise (discussão que aborda problemas com user stories)"/>
    <n v="2014"/>
    <n v="2015"/>
    <s v="Não consta"/>
    <s v="Desvantagens histórias verticais"/>
    <s v="Desvantagens de histórias verticais"/>
    <s v="disadvantages of vertical stories"/>
    <s v="drawbacks of vertical slicing of user stories"/>
    <s v="Poor decomposition and granularity of user stories"/>
    <s v="User Story Issues"/>
    <s v="What are some more drawbacks of vertically slicing user stories?"/>
    <s v="&quot;Here is a short list of disadvantages that I could come up with:&quot;"/>
    <s v="?"/>
    <s v="Agile"/>
    <s v="Agile"/>
    <s v="Agile"/>
    <x v="0"/>
    <s v="structuring work into vertical user stories"/>
    <s v="The agile approach is to structure the work into vertical user stories "/>
    <s v="&quot;The agile approach is to structure the work into vertical user stories...&quot;"/>
    <s v="OK"/>
    <s v="Não mencionado"/>
    <s v="Não mencionado"/>
    <s v="Não mencionado"/>
    <x v="1"/>
    <s v="-"/>
    <s v="-"/>
    <s v="-"/>
    <s v="OK"/>
    <s v="Não mencionado"/>
    <s v="Não mencionado"/>
    <s v="Não mencionado"/>
    <x v="0"/>
    <s v="-"/>
    <s v="O autor menciona o papel de desenvolvedor, mas não se identifica como um"/>
    <s v="-"/>
    <s v="O autor menciona o papel de desenvolvedor, mas não se identifica como um"/>
    <s v="Possíveis trade-offs"/>
    <s v="Contra ponto das historias verticais"/>
    <s v="Contra ponto das historias verticais"/>
    <s v="Challenges with vertical user stories (vertical slicing issues)"/>
    <s v="Lack of independence and value delivery issues"/>
    <s v="Product &amp; Value Effects"/>
    <s v="communicating trade-offs ahead of time"/>
    <s v="I want to be able to bring up the possible trade-offs ahead of time so they won't consider the approach a failure when they are faced with the drawbacks."/>
    <s v="&quot;I want to be able to bring up the possible trade-offs ahead of time so they won't consider the approach a failure when they are faced with the drawbacks.&quot;"/>
    <s v="OK"/>
    <m/>
    <m/>
    <s v="1. distinguishing between slicing by individual vs team responsibilities._x000a__x000a_2. full-stack developers as most efficient way to work vertically with pair programming across layers._x000a__x000a_3. secondary structures helping mitigate drawbacks of vertical or horizontal"/>
    <s v="1 - I think it's important to distinguish between slicing by individual responsibilities vs. slicing by team responsibilities. I'll focus this answer mainly on slicing teams._x000a__x000a_2. In the short term, and for a team new to this kind of development, the main "/>
    <m/>
    <n v="18"/>
    <s v="1. Horizontal Teams: Fosters good separation of concerns and loosely coupled tiers, much easier workload distribution management, fosters intra-tier collaboration, best practices, pride, and a culture of excellence. Vertical/Diagonal Teams: All the parts "/>
    <s v="1 - I think it's important to distinguish between slicing by individual responsibilities vs. slicing by team responsibilities. I'll focus this answer mainly on slicing teams._x000a__x000a_2 - If your engineers are generalists and like working full stack, that's a pre"/>
  </r>
  <r>
    <n v="231273"/>
    <s v="Software Engineering"/>
    <m/>
    <s v="https://softwareengineering.stackexchange.com/questions/"/>
    <s v="How to get better understanding of the users as a programmer"/>
    <s v="CA: Discussão apta para análise (discussão que aborda problemas com user stories)"/>
    <n v="2014"/>
    <n v="2014"/>
    <s v="Não consta"/>
    <s v="Histórias orientadas à solução"/>
    <s v="Prescrição prematura de soluções"/>
    <m/>
    <s v="user stories as solution statements"/>
    <s v="User stories framed as solutions or technical tasks"/>
    <s v="User Story Issues"/>
    <s v="the business analysts often provide us &quot;user stories&quot; that are more solution than problem statement."/>
    <s v="&quot;the business analysts often provide us &quot;user stories&quot; that are more solution than problem statement&quot;"/>
    <s v="OK"/>
    <s v="Agile"/>
    <s v="Agile"/>
    <s v="Agile"/>
    <x v="0"/>
    <s v="Company transitioning to agile methodology."/>
    <s v="I work at a company that wants to be agile"/>
    <s v="&quot;I work at a company that wants to be agile...&quot;"/>
    <s v="OK"/>
    <s v="Refinamento Backlog"/>
    <s v="Refinamento de Backlog"/>
    <s v="Refinamento de Backlog"/>
    <x v="4"/>
    <s v="jumping into solution without planning"/>
    <s v="we receive a solution statement on our backlog, they are eager to jump right in and work on it."/>
    <s v="&quot;when we receive a solution statement on our backlog, they are eager to jump right in&quot;"/>
    <s v="OK"/>
    <s v="Engenheiro de Software"/>
    <s v="Engenheiro de software"/>
    <s v="Engenheiro de software"/>
    <x v="1"/>
    <s v="software engineer understanding user's needs"/>
    <s v="I believe that as a software engineer part of my job is to understand the user's needs "/>
    <s v="&quot;I believe that as a software engineer part of my job is to understand the user's needs&quot;"/>
    <s v="OK"/>
    <s v="Distanciamento do usuário"/>
    <s v="Degradação da autonomia e &quot;Code Monkeyism&quot;"/>
    <s v="Degradação da autonomia e &quot;Code Monkeyism&quot;"/>
    <s v="Loss of autonomy and “code monkey” situation"/>
    <s v="Loss of autonomy and professional degradation"/>
    <s v="Human &amp; Social Effects"/>
    <s v="lack of design decisions leading to 'code monkey' situation"/>
    <s v="within our organization structure, I have zero contact with the user"/>
    <s v="&quot;leaves few design decisions to be made [...] that tends toward a 'code monkey' situation.&quot;"/>
    <s v="&quot;leaves few design decisions to be made [...] that tends toward a 'code monkey' situation.&quot;"/>
    <m/>
    <m/>
    <s v="1. talking directly to customers and end users._x000a__x000a_2. getting involved earlier in the process after sales and with BAs._x000a__x000a_3. working through project manager to get in meetings with customer to discuss requirements._x000a__x000a_4. keep asking questions until fully under"/>
    <s v="1 - What I have found in over 13 years of software engineering is that I need to talk directly to the customers and sometimes even end users (often in software these are separate entities)._x000a__x000a_2 - I would recommend talking to your management and argue that "/>
    <m/>
    <n v="12"/>
    <s v="1. I would recommend talking to your management and argue that you need to be involved earlier in the process, ideally right after sales exits the picture and the BAs enter. Do not be just a fly on the wall: you need to assert yourself as a product expert"/>
    <s v="1 - What I have found in over 13 years of software engineering is that I need to talk directly to the customers and sometimes even end users (often in software these are separate entities)._x000a__x000a_2 - I would recommend talking to your management and argue that "/>
  </r>
  <r>
    <n v="3017"/>
    <s v="Project Management"/>
    <m/>
    <s v="https://pm.stackexchange.com/questions/"/>
    <s v="Where should design be incorporated in an agile process?"/>
    <s v="CA: Discussão apta para análise (discussão que aborda problemas com user stories)"/>
    <n v="2011"/>
    <n v="2011"/>
    <s v="Estados Unidos"/>
    <s v="Design gera dependência"/>
    <s v="Design gera dependencia"/>
    <s v="design creates dependency"/>
    <s v="development user stories depend on other user stories"/>
    <s v="User stories lacking user value orientation"/>
    <s v="User Story Issues"/>
    <s v="The problem I have with this is that the &quot;development user stories&quot; then have these dependencies on other stories which we generally try to avoid."/>
    <s v="&quot;The problem I have with this is that the &quot;development user stories&quot; then have these dependencies on other stories which we generally try to avoid.&quot;"/>
    <s v="OK"/>
    <s v="Scrum"/>
    <s v="Scrum"/>
    <s v="Scrum"/>
    <x v="2"/>
    <s v="scrum-based agile development process"/>
    <s v="We use a scrum-based agile development process."/>
    <s v="&quot;We use a scrum-based agile development process.&quot;"/>
    <s v="OK"/>
    <s v="Sprint Planning (subtendido)"/>
    <s v="Não mencionado"/>
    <s v="Não mencionado "/>
    <x v="1"/>
    <s v="design as a separate user story"/>
    <s v="We currently think of design as a separate task and break it out as a separate user story with estimated points."/>
    <s v="&quot;We currently think of design as a separate task and break it out as a separate user story with estimated points.&quot;"/>
    <s v="OK"/>
    <s v="Desenvolvedor (subtendido)"/>
    <s v="Não mencioando"/>
    <s v="Não mencionado"/>
    <x v="0"/>
    <s v="-"/>
    <s v="O autor fala da estruturação das histórias e do impacto no desenvolvimento, mas não declara explicitamente o papel."/>
    <s v="-"/>
    <s v="O autor fala da estruturação das histórias e do impacto no desenvolvimento, mas não declara explicitamente o papel."/>
    <s v="Histórias dependentes"/>
    <s v="Dependendia em user stories de desenvolvimento"/>
    <s v="Dependencia em user stories de desenvolvimento"/>
    <s v="Dependency on development user stories"/>
    <s v="Lack of independence and value delivery issues"/>
    <s v="Product &amp; Value Effects"/>
    <s v="development user stories depend on other user stories"/>
    <s v="he &quot;development user stories&quot; then have these dependencies on other stories "/>
    <s v="&quot;the &quot;development user stories&quot; then have these dependencies on other stories&quot;"/>
    <s v="OK"/>
    <m/>
    <s v="3. design is part of definition of ready.                                                                                                                                                                                                                      "/>
    <s v="1. design work done in sprint._x000a__x000a_2. design as separate stories._x000a__x000a_3. design as part of definition of ready._x000a__x000a_4. focusing on development effort rather than analysis, UI design, and testing._x000a__x000a_5. analysts and designers working a sprint ahead of developers._x000a__x000a_6."/>
    <s v="1 - Design work is done in sprint_x000a__x000a_2 - Design as separate stories_x000a__x000a_3 - Design is part of our definition of ready_x000a__x000a_4 - ...I tend to encourage teams to worry about the development effort, rather than also including analysis, UI design, testing, etc._x000a__x000a_5 - Wi"/>
    <m/>
    <n v="5"/>
    <s v="1. We have a ready for sprint column on our board - stories can only move from the backlog to ready if they are sized appropriately, have acceptance criteria and have completed, signed off designs. This still gives us visibility of forthcoming stories tha"/>
    <s v="1 - Design work is done in sprint_x000a__x000a_2 - Design as separate stories_x000a__x000a_3 - Design is part of our definition of ready_x000a__x000a_4 - ...I tend to encourage teams to worry about the development effort, rather than also including analysis, UI design, testing, etc._x000a__x000a_5 - Fo"/>
  </r>
  <r>
    <n v="194180"/>
    <s v="Software Engineering"/>
    <m/>
    <s v="https://softwareengineering.stackexchange.com/questions/"/>
    <s v="User stories are too high level and conceptual, management expects developers to fill in the blanks"/>
    <s v="CA: Discussão apta para análise (discussão que aborda problemas com user stories)"/>
    <n v="2013"/>
    <n v="2021"/>
    <s v="Amsterdã, Países Baixos"/>
    <s v="User Stories muito conceituais gerando mudanças e retrabalho durante a implementação"/>
    <s v="Escrita de histórias fraca"/>
    <s v="user-stories are too conceptual"/>
    <s v="user-stories are too conceptual and just convey the underlying intention but lack enough details...The developer is expected to fill in the blanks at his own discretion"/>
    <s v="Lack of clarity and completeness in user stories"/>
    <s v="User Story Issues"/>
    <s v="user-stories are too conceptual and just convey the underlying intention but lack enough details...The developer is expected to fill in the blanks at his own discretion... many of these blanks are discovered after some wrong assumptions have made made the"/>
    <s v="&quot;To put is short, user-stories are too conceptual and just convey the underlying intention but lack enough details (specially pre-conditions and post-conditions, relevance to other stories, dependencies and alike).&quot;"/>
    <s v="OK"/>
    <s v="Extreme Programming (XP)"/>
    <s v="XP"/>
    <s v="XP"/>
    <x v="3"/>
    <s v="&quot;I am employed in a very brilliant company with a true intention of doing XP&quot;"/>
    <s v="a true intention of doing XP. XP developers being designers and analysts at the same time."/>
    <s v="&quot;I am employed in a very brilliant company with a true intention of doing XP&quot;"/>
    <s v="OK"/>
    <s v="Escrita / Refinamento de User Stories"/>
    <s v="Não mencionado"/>
    <s v="Não mencionado"/>
    <x v="1"/>
    <s v="-"/>
    <s v=" the volume of change that becomes necessary while implementing the stories. "/>
    <s v="-"/>
    <s v="?"/>
    <s v="Desenvolvedor (subtendido)"/>
    <s v="Desenvolvedor"/>
    <s v="Não informado explicitamente"/>
    <x v="0"/>
    <s v="-"/>
    <s v="I believe many of these discoveries (which take time and effort of course) are the responsibilities of the story writers (customers, end users and product owners) and not the developers.  The developer is expected to fill in the blanks at his own discreti"/>
    <s v="&quot;The developer is expected to fill in the blanks at his own discretion by the virtue of XP developers being designers and analysts at the same time.&quot;"/>
    <s v="OK"/>
    <s v="Desvio de estimativas e aumento de complexidade não prevista"/>
    <s v="Volume de mudanças"/>
    <s v="Desvio de estimativas e aumento de complexidade não prevista"/>
    <s v="Estimation deviation and emergence of unforeseen complexity"/>
    <s v="Estimation uncertainty and inaccuracy"/>
    <s v="Planning &amp; Estimation Effects"/>
    <s v="added complexities emerge than initially anticipated"/>
    <s v="noticing added complexities emerge than initially anticipated... considered as deviation from the initial estimations."/>
    <s v="&quot;I'm a little troubled with the volume of change that becomes necessary while implementing the stories.&quot;"/>
    <s v="?"/>
    <m/>
    <s v="2. Clarify requirements through questioning and rapid prototyping                                                                                                                                                                                              "/>
    <s v="1. fill in those blanks as early as possible_x000a_2. create a prototype_x000a_3. keep the stories as small as possible_x000a_4. get user feedback even more early_x000a_5. agile practices should be adapted to the needs and the culture_x000a_6. discuss your concerns with your fellow de"/>
    <s v="1 - The trick is to fill in those blanks as early as possible in the process of development._x000a__x000a_2 - First, ask questions. Where the answers you get seem unsatisfactory, create a prototype. Show the customer what they're asking for, and let them tell you how"/>
    <m/>
    <n v="41"/>
    <s v="1. The trick is not to avoid there being blanks. The trick is to fill in those blanks as early as possible. First, ask questions. Where the answers seem unsatisfactory, create a prototype. Show the customer what they're asking for, and let them tell you h"/>
    <s v="1 - The trick is to fill in those blanks as early as possible in the process of development._x000a__x000a_2 - First, ask questions. Where the answers you get seem unsatisfactory, create a prototype. Show the customer what they're asking for, and let them tell you how"/>
  </r>
  <r>
    <n v="127213"/>
    <s v="Software Engineering"/>
    <m/>
    <s v="https://softwareengineering.stackexchange.com/questions/"/>
    <s v="Agile product planning alternatives to aid goal-oriented feature quality"/>
    <s v="CA: Discussão apta para análise (discussão que aborda problemas com user stories)"/>
    <n v="2011"/>
    <n v="2011"/>
    <s v="Eslovênia"/>
    <s v="Histórias mal definidas"/>
    <s v="História mal desenvolvida"/>
    <s v="poorly developed story"/>
    <s v="bad/unusable user stories"/>
    <s v="Lack of clarity and completeness in user stories"/>
    <s v="User Story Issues"/>
    <s v=" there are more ways to write bad/unusable user stories than writing really good ones. And it's easy to get to the wrong tracks even if you're careful. "/>
    <s v="&quot;there are more ways to write bad/unusable user stories than writing really good ones. And it's easy to get to the wrong tracks even if you're careful.&quot;"/>
    <s v="OK"/>
    <s v="Agile"/>
    <s v="Agile"/>
    <s v="Agile"/>
    <x v="0"/>
    <s v="functionality documentation as Backlog."/>
    <s v="In Agile terms these kind of functionality documentation is the Backlog."/>
    <s v="&quot;In Agile terms these kind of functionality documentation is the Backlog&quot;"/>
    <s v="OK"/>
    <s v="Backlog"/>
    <s v="Não mencionado diretamente"/>
    <s v="Não mencionado diretamente"/>
    <x v="1"/>
    <s v="-"/>
    <s v="In Agile terms these kind of functionality documentation is the Backlog."/>
    <s v="&quot;In Agile terms these kind of functionality documentation is the Backlog&quot;"/>
    <s v="OK"/>
    <s v="Product Owner (subtendido)"/>
    <s v="PO (subentendido)"/>
    <s v="Product Owner"/>
    <x v="2"/>
    <s v="writing and prioritizing relevant features for product goal"/>
    <s v=" I would like to write feature set for my coming product in a way they are actually relevant and prioritise them accordingly"/>
    <s v="&quot;So I would like to write feature set for my coming product in a way they are actually relevant and prioritise them accordingly to reach my goal as reliably as possible.&quot;"/>
    <s v="OK"/>
    <s v="Desvio do objetivo"/>
    <s v="Desvio do objetivo"/>
    <s v="Desvio do objetivo"/>
    <s v="Goal misalignment"/>
    <s v="Misalignment with goals and prioritization"/>
    <s v="Product &amp; Value Effects"/>
    <s v="lack of experience with user stories hindering the product"/>
    <s v=" If you don't have lots of experience with user stories that may hinder your product because they distract you from the actual goal."/>
    <s v="&quot;If you don't have lots of experience with user stories that may hinder your product because they distract you from the actual goal&quot;"/>
    <s v="OK"/>
    <m/>
    <s v="1. Quality Assurance filters out bad/unusable results.                                                                                                                                                                                                         "/>
    <s v="1. Quality Assurance to prevent bad/unusable user stories._x000a__x000a_2. great user stories require Quality Assurance and definition of greatness._x000a__x000a_3. assuring user stories meet quality standards before estimating._x000a__x000a_4. bad user stories can be reworked to improve qu"/>
    <s v="1 - In all cases, we have a technique for preventing all the bad/unusable from overwhelming the good. It's called &quot;Quality Assurance&quot;._x000a__x000a_2 - It turns out that it's hard. You can't get a &quot;great&quot; plan without &quot;great&quot; user stories. And you can't get &quot;great&quot; u"/>
    <m/>
    <n v="2"/>
    <s v="1.  What you need to do is to assure that all stories meet the quality standards before you use them for estimating._x000a__x000a_2. Don't write very low-level stories early on. define larger chunks (i.e. epic stories). Break down more important ones which you will s"/>
    <s v="1 - In all cases, we have a technique for preventing all the bad/unusable from overwhelming the good. It's called &quot;Quality Assurance&quot;._x000a__x000a_2 - It turns out that it's hard. You can't get a &quot;great&quot; plan without &quot;great&quot; user stories. And you can't get &quot;great&quot; u"/>
  </r>
  <r>
    <n v="25744"/>
    <s v="Project Management"/>
    <m/>
    <s v="https://pm.stackexchange.com/questions/"/>
    <s v="Lingua franca for technical stories"/>
    <s v="CA: Discussão apta para análise (discussão que aborda problemas com user stories)"/>
    <n v="2019"/>
    <n v="2019"/>
    <s v="Londres"/>
    <s v="Falta de linguagem comum para histórias técnicas entre disciplinas diferentes"/>
    <s v="Barreira de comunicação técnica"/>
    <s v="meaning of the story between different technical teams."/>
    <s v="we are finding it very hard to convey enough meaning such that every technical team member can understand it"/>
    <s v="Lack of clarity and completeness in user stories"/>
    <s v="User Story Issues"/>
    <s v="we are finding it very hard to convey enough meaning such that every technical team member can understand it... What could be the technical story's lingua franca?"/>
    <s v="&quot;when a person of one technical discipline reads the story of a another technical discipline we are finding it very hard to convey enough meaning such that every technical team member can understand it&quot;"/>
    <s v="OK"/>
    <s v="BDD (Gherkin)"/>
    <s v="Não mencionado"/>
    <s v="BDD (Gherkin)"/>
    <x v="4"/>
    <s v="I have coached my team to write quite good user stories using gherkin"/>
    <s v="I have coached my team to write quite good user stories using gherkin. The user story's lingua franca would be gherkin."/>
    <s v="-"/>
    <s v="?"/>
    <s v="Não mencionado"/>
    <s v="Story writing"/>
    <s v="Não mencionado"/>
    <x v="1"/>
    <s v="-"/>
    <s v="-"/>
    <s v="&quot;An example, though not specific to our case, would be that of a C# developer without SQL skills writing a story in a team which includes SQL developers without C# skills.&quot;"/>
    <s v="?"/>
    <s v="Não informado"/>
    <s v="Tech Lead / Product Owner"/>
    <s v="Não informado"/>
    <x v="0"/>
    <s v="-"/>
    <s v="O autor parece ser algum tipo de líder técnico, mas não especifica o seu papel"/>
    <s v="&quot;I have coached my team&quot;"/>
    <s v="?"/>
    <s v="Dificuldade de entendimento compartilhado e colaboração técnica"/>
    <s v="Incompreensão mútua"/>
    <s v="Dificuldade de entendimento compartilhado e colaboração técnica"/>
    <s v="Difficulty in shared understanding and technical collaboration"/>
    <s v="Communication and collaboration issues"/>
    <s v="Human &amp; Social Effects"/>
    <s v="hard to convey enough meaning"/>
    <s v="very hard to convey enough meaning...regardless of whether they know enough to estimate."/>
    <s v="&quot;we are finding it very hard to convey enough meaning such that every technical team member can understand it&quot;"/>
    <s v="?"/>
    <m/>
    <m/>
    <s v="1. registered web client calls Foo(int id) method to get a list of Bars_x000a_2. registered web client calls Foo(int id) method with an invalid ID"/>
    <s v="1 - For the example of a change to a RESTful API, I would write something like the following:_x000a__x000a_Scenario: Registered web client calls Foo(int id) method to get a list of Bars._x000a_GIVEN: The client is a registered user of the API_x000a_WHEN: The client calls the Foo"/>
    <m/>
    <n v="36"/>
    <s v="1. Gherkin is probably going to be the best fit for your situation, largely because you're using it today. If your team(s) are following a BDD approach, even more so. Scenario: Registered web client calls Foo(int id) method to get a list of Bars. GIVEN: T"/>
    <s v="1 - For the example of a change to a RESTful API, I would write something like the following:_x000a__x000a_Scenario: Registered web client calls Foo(int id) method to get a list of Bars._x000a_GIVEN: The client is a registered user of the API_x000a_WHEN: The client calls the Foo"/>
  </r>
  <r>
    <n v="25196"/>
    <s v="Project Management"/>
    <m/>
    <s v="https://pm.stackexchange.com/questions/"/>
    <s v="How to write a summary for a user story?"/>
    <s v="CA: Discussão apta para análise (discussão que aborda problemas com user stories)"/>
    <n v="2018"/>
    <n v="2018"/>
    <s v="Tallinn, Estônia"/>
    <s v="Dificuldade de estruturar e visualizar o backlog"/>
    <s v="Histórias de usuário enganosos ou pouco úteis"/>
    <s v=" backlog seems clumsy"/>
    <s v="I would like backlog (and the board) to display stories in (readably) coherent structure"/>
    <s v="Process/workflow issues around user stories"/>
    <s v="User Story related Issues"/>
    <s v="the problem is that from above the backlog seems clumsy. I would like backlog (and the board) to display stories in (readably) coherent structure"/>
    <s v="&quot;those summaries are sometimes little bit misleading or not helpful to find some particular story.&quot;"/>
    <s v="?"/>
    <s v="Kanban (modificado)"/>
    <s v="Kanban"/>
    <s v="Kanban"/>
    <x v="1"/>
    <s v="we just use backlog and modified kanban board"/>
    <s v="We don't do scrum, we just use backlog and modified kanban board to visualize our progress."/>
    <s v="&quot;We don't do scrum, we just use backlog and modified kanban board to visualize our progress.&quot;"/>
    <s v="OK"/>
    <s v="Não mencionado"/>
    <s v="Não mencionado"/>
    <s v="Não mencionado"/>
    <x v="1"/>
    <s v="-"/>
    <s v="-"/>
    <s v="-"/>
    <s v="OK"/>
    <s v="Time de Desenvolvimento (subtendido)"/>
    <s v="Não mencioado"/>
    <s v="Não mencionado"/>
    <x v="0"/>
    <s v="-"/>
    <s v="We use Jira... I'm working hard on user stories "/>
    <s v="-"/>
    <s v="?"/>
    <s v="Backlog desorganizado / dificuldade de navegação"/>
    <s v="Dificuldade de navegação devido a um backlog desorganizado"/>
    <s v="Dificuldade de navegação devido a um backlog desorganizado"/>
    <s v="Difficulty navigating a disorganized backlog"/>
    <s v="Organizational and backlog management issues"/>
    <s v="Organizational &amp; Management Effects"/>
    <m/>
    <s v=" summaries are sometimes little bit misleading... I don't know how to go about point 2."/>
    <s v="&quot;backlog seems clumsy. [...] I would like backlog (and the board) to display stories in (readably) coherent structure so that I can navigate more easily."/>
    <s v="?"/>
    <m/>
    <m/>
    <s v="1. use job stories instead_x000a_2. shouldn't expect to understand everything from the summary_x000a_3. see summaries as pointers_x000a_4. group stories beneath an Epic"/>
    <s v="1 - Use job stories instead._x000a__x000a_2 - You shouldn't expect to understand everything from the summary._x000a__x000a_3 - Try to see summaries as &quot;pointers&quot;. Your team should have a session to review top backlog items (to get to know the actual &quot;content&quot;). Next time people "/>
    <m/>
    <n v="28"/>
    <s v="1. Use job stories instead. Job stories go: When... I want to... So I can... For example: When I have cancelled a card payment, I want to be reminded that my card is in the card terminal, So that I won't forget it. Then you can add a final line -- 'This n"/>
    <s v="1 - Use job stories instead._x000a__x000a_2 - You shouldn't expect to understand everything from the summary._x000a__x000a_3 - Try to see summaries as &quot;pointers&quot;. Your team should have a session to review top backlog items (to get to know the actual &quot;content&quot;). Next time people "/>
  </r>
  <r>
    <n v="354302"/>
    <s v="Software Engineering"/>
    <m/>
    <s v="https://softwareengineering.stackexchange.com/questions/"/>
    <s v="How can agile be applied to applications involving complex processing?"/>
    <s v="CA: Discussão apta para análise (discussão que aborda problemas com user stories)"/>
    <n v="2017"/>
    <n v="2017"/>
    <s v="Alemanha"/>
    <s v="Histórias vs processamento"/>
    <s v="Relacionar tasks e user stories"/>
    <s v="relate tasks and user stories"/>
    <s v="&quot;Here it can get really difficult to relate tasks and user stories.&quot;"/>
    <s v="Process/workflow issues around user stories"/>
    <s v="User Story related Issues"/>
    <s v="Here it can get really difficult to relate tasks and user stories. Are there techniques to overcome this issue or is it just something we have to accept and make the best of it?"/>
    <s v="&quot;Here it can get really difficult to relate tasks and user stories.&quot;"/>
    <s v="OK"/>
    <s v="Agile"/>
    <s v="Agile"/>
    <s v="Agile"/>
    <x v="0"/>
    <s v="Most of the literature on agile"/>
    <s v="Most of the literature on agile seems to be biased towards CRUD type business applications"/>
    <s v="&quot;Most of the literature on agile seems to be biased towards CRUD type business applications...&quot;"/>
    <s v="OK"/>
    <s v="Não mencionado"/>
    <s v="Não mencionado"/>
    <s v="Não mencionado"/>
    <x v="1"/>
    <s v="-"/>
    <s v="-"/>
    <s v="-"/>
    <s v="OK"/>
    <s v="Não mencionado"/>
    <s v="Não mencionado"/>
    <s v="Não mencionado"/>
    <x v="0"/>
    <s v="-"/>
    <s v="-"/>
    <s v="-"/>
    <s v="-"/>
    <s v="Dificuldade de relacionamento"/>
    <s v="Incerteza sobre tecnicas para relacionar"/>
    <s v="Dificuldade de relacionamento"/>
    <s v="nterpersonal relationship difficulties"/>
    <s v="Communication and collaboration issues"/>
    <s v="Human &amp; Social Effects"/>
    <m/>
    <s v="it can get really difficult to relate tasks and user stories."/>
    <s v="&quot;Are there techniques to overcome this issue or is it just something we have to accept and make the best of it?&quot;"/>
    <s v="it can get really difficult to relate tasks and user stories."/>
    <m/>
    <s v="9. Break down large features into incremental, deliverable pieces.                                                                                                                                                                                             "/>
    <s v="1 - user story is not the same as a requirement_x000a__x000a_2 - break down user stories into tasks_x000a__x000a_3 - user stories focused on what and why, not how_x000a__x000a_4 - avoid shortcuts through the process_x000a__x000a_5 5 - improve understanding of differences between requirements and user s"/>
    <s v="1 - A user story is not the same as a requirement._x000a__x000a_2 - What I used to do, and this was a practice my team adopted, was to break down user stories into tasks._x000a__x000a_3 - Our approach was to keep user stories focused on what the request was, why it was made, and"/>
    <m/>
    <n v="23"/>
    <s v="1. A user story is not the same as a requirement. User stories focus on the expected outcome for the end-user without trying to create a detailed behavioral specification for system components. Break down user stories into tasks -- as specific or vague as"/>
    <s v="1 - A user story is not the same as a requirement._x000a__x000a_2 - What I used to do, and this was a practice my team adopted, was to break down user stories into tasks._x000a__x000a_3 - Our approach was to keep user stories focused on what the request was, why it was made, and"/>
  </r>
  <r>
    <n v="340712"/>
    <s v="Software Engineering"/>
    <m/>
    <s v="https://softwareengineering.stackexchange.com/questions/"/>
    <s v="how can user story maps be used for projects with heavy backend work and little UI"/>
    <s v="CA: Discussão apta para análise (discussão que aborda problemas com user stories)"/>
    <n v="2017"/>
    <n v="2017"/>
    <s v="Beirute, Líbano"/>
    <s v="Story map técnico"/>
    <s v="Utilização de user story maps"/>
    <s v="user story maps"/>
    <s v="how can user story maps be used to visualize a project like this where there isn't too much of a user story going on"/>
    <s v="Process/workflow issues around user stories"/>
    <s v="User Story related Issues"/>
    <s v="My question is: how can user story maps be used to visualize a project like this where there isn't too much of a user story going on. it's mostly stuff going on at the backend to scale operations "/>
    <s v="&quot;how can user story maps be used to visualize a project like this where there isn't too much of a user story going on.&quot;"/>
    <s v="OK"/>
    <s v="Lean Startup"/>
    <s v="Lean start-up principles"/>
    <s v="Lean Start-up"/>
    <x v="5"/>
    <s v="use the lean start-up principles"/>
    <s v="I find using story maps a very effective way in convincing clients to use the lean start-up principles"/>
    <s v="&quot;I find using story maps a very effective way in convincing clients to use the lean start-up principles...&quot;"/>
    <s v="OK"/>
    <s v="Não mencionado"/>
    <s v="Não mencionado"/>
    <s v="Não mencionado"/>
    <x v="1"/>
    <s v="-"/>
    <s v="-"/>
    <s v="-"/>
    <s v="OK"/>
    <s v="Não mencionado"/>
    <s v="Não mencionado"/>
    <s v="Não mencionado"/>
    <x v="0"/>
    <s v="-"/>
    <s v="-"/>
    <s v="-"/>
    <s v="-"/>
    <s v="Dificuldade de organização"/>
    <s v="Dificuldade em listar as tarefas no mapa"/>
    <s v="Dificuldade em listar as tarefas no mapa"/>
    <s v="Difficulty listing tasks in the map"/>
    <s v="Difficulty in decomposition and task structuring"/>
    <s v="Structural &amp; Quality Effects"/>
    <s v="Structural &amp; Quality Effects"/>
    <s v="I'm struggling on how to lay them out"/>
    <s v="&quot;I'm struggling on how to lay them out&quot;"/>
    <s v="OK"/>
    <s v="1. Evaluate sub-workflows to determine appropriate approaches for architecture-oriented work"/>
    <s v="1. Evaluate sub-workflows to determine appropriate approaches for architecture-oriented work"/>
    <s v="1 - measure which sub-workflow benefits most from a scalable cloud service"/>
    <s v="1. Measure which sub-workflow benefits most from a scalable cloud service. While 'storymaps' is a great tool for agile projects, in my opinion it is not suitable for your type of project. A storymap is workflow/feature oriented, your example tasks are com"/>
    <m/>
    <n v="24"/>
    <s v="1. Measure which sub-workflow benefits most from a scalable cloud service. While 'storymaps' is a great tool for agile projects, in my opinion it is not suitable for your type of project. A storymap is workflow/feature oriented, your example tasks are com"/>
    <s v="1 - The answer is similar to the question: &quot;which code to change to optimize performance(speed)&quot; : measure/profile which code slows down the system._x000a__x000a_2 - In your case measure which sub-workflow benifts most from a scalable cloud service."/>
  </r>
  <r>
    <n v="8679"/>
    <s v="Project Management"/>
    <m/>
    <s v="https://pm.stackexchange.com/questions/"/>
    <s v="How does a team (new to product and domain) estimate user stories of a ten year old product?"/>
    <s v="CA: Discussão apta para análise (discussão que aborda problemas com user stories)"/>
    <n v="2013"/>
    <n v="2013"/>
    <s v="Não consta"/>
    <s v="Falta conhecimento produto"/>
    <s v="Escrita fraca de user stories para sistema legado"/>
    <m/>
    <s v="poor user stories due to lack of product knowledge"/>
    <s v="Lack of product/domain knowledge"/>
    <s v="User Story Issues"/>
    <s v=" the team is not feeling confident enough in converting the user stories to functionality"/>
    <s v="&quot;So, is there any guideline that our team needs to follow to create better user stories having in mind that this product is quite old and changed a lot since it was built?&quot;"/>
    <s v="?"/>
    <s v="Scrum"/>
    <s v="Scrum"/>
    <s v="Scrum"/>
    <x v="2"/>
    <s v="Scrum Master in software development company"/>
    <s v="I am the scrum master for one of the product"/>
    <s v="&quot;I am the scrum master for one of the products in a software development company.&quot;"/>
    <s v="OK"/>
    <s v="Sprint Planning"/>
    <s v="Sprint planning"/>
    <s v="Sprint planning"/>
    <x v="2"/>
    <s v="nability to estimate user stories in sprint planning"/>
    <s v=" they were unable to estimate the user stories in the sprint planning meetings."/>
    <s v="&quot;they were unable to estimate the user stories in the sprint planning meetings.&quot;"/>
    <s v="OK"/>
    <s v="Scrum Master"/>
    <s v="Scrum master"/>
    <s v="Scrum master"/>
    <x v="3"/>
    <s v="Scrum Master in software development company"/>
    <s v="I am the scrum master for one of the products"/>
    <s v="&quot;I am the scrum master for one of the products in a software development company.&quot;"/>
    <s v="OK"/>
    <s v="Histórias levam múltiplas sprints"/>
    <s v="Dificuldade na entrega"/>
    <s v="Dificuldade na entrega"/>
    <s v="Difficulty in delivery"/>
    <s v="Workflow disruption and delivery blockage"/>
    <s v="Process &amp; Workflow Effects"/>
    <s v="user stories spanning multiple sprints"/>
    <s v="Sometimes it took multiple sprints to complete a user story."/>
    <s v="&quot;Sometimes it took multiple sprints to complete a user story.&quot;"/>
    <s v="OK"/>
    <m/>
    <m/>
    <s v="1. increasing estimate accuracy with PO participation, training, documentation, and spikes._x000a__x000a_2. all stories must be estimated._x000a__x000a_3. estimates as accurate as possible within sprint planning time-box._x000a__x000a_4. estimates should include uncertainty._x000a__x000a_5. using spike"/>
    <s v="1 - You can increase the accuracy of your estimates with increased Product Owner participation, training and documentation stories, and story spikes._x000a__x000a_ 2 - All Stories MUST Be Estimated_x000a__x000a_3 - The estimate should be as accurate as you can make it within the"/>
    <m/>
    <n v="10"/>
    <s v="1. The first step is to reduce your uncertainty as much as possible. Perhaps you need a pair of story spikes. Whether or not you do the spikes first, all stories include some amount of uncertainty. The bigger the cone of uncertainty, the less accurate you"/>
    <s v="1 - You can increase the accuracy of your estimates with increased Product Owner participation, training and documentation stories, and story spikes._x000a__x000a_ 2 - All Stories MUST Be Estimated_x000a__x000a_3 - The estimate should be as accurate as you can make it within the"/>
  </r>
  <r>
    <n v="9878"/>
    <s v="Project Management"/>
    <m/>
    <s v="https://pm.stackexchange.com/questions/"/>
    <s v="How can I manage both user stories and other non-backlog tasks if using VersionOne?"/>
    <s v="CA: Discussão apta para análise (discussão que aborda problemas com user stories)"/>
    <n v="2013"/>
    <n v="2013"/>
    <s v="Não consta"/>
    <s v="Trabalhos fora backlog"/>
    <s v="Catogirazação de demanda diferente"/>
    <m/>
    <s v="work not organized into user stories"/>
    <s v="Process/workflow issues around user stories"/>
    <s v="User Story related Issues"/>
    <s v="VersionOne is fine for tracking user stories, but not all work is currently organized into user stories"/>
    <s v="&quot;VersionOne is fine for tracking user stories, but not all work is currently organized into user stories.&quot;"/>
    <s v="OK"/>
    <s v="Scrum"/>
    <s v="Scrum e Agile"/>
    <s v="Scrum e Agile"/>
    <x v="2"/>
    <s v="newcomers to agile and scrum methodologies"/>
    <s v="We are taking our first steps in agile and Scrum"/>
    <s v="&quot;We are taking our first steps in agile and Scrum.&quot;"/>
    <s v="OK"/>
    <s v="Sprint Planning"/>
    <s v="Sprint planning"/>
    <s v="Sprint planning"/>
    <x v="2"/>
    <s v="building a sprint plan for the development team"/>
    <s v="I am trying to build a sprint plan for the development team"/>
    <s v="&quot;I am trying to build a sprint plan for the development team.&quot;"/>
    <s v="OK"/>
    <s v="Gerente de Desenvolvimento"/>
    <s v="Gerente de desenvolvimento"/>
    <s v="Gerente de desenvolvimento"/>
    <x v="1"/>
    <s v="development manager building a sprint plan"/>
    <s v="As the development manager, I am trying to build a sprint plan "/>
    <s v="&quot;As the development manager...&quot;"/>
    <s v="OK"/>
    <s v="Duplicidade de controle"/>
    <s v="Duplicidade de tarefas"/>
    <s v="Duplicidade de tarefas"/>
    <s v="Task duplication"/>
    <s v="Organizational and backlog management issues"/>
    <s v="Organizational &amp; Management Effects"/>
    <s v="managing backlog items across multiple systems"/>
    <s v="managing them someplace else means I will either duplicate the VersionOne information in the other system, or I will have two systems tracking the development tasks."/>
    <s v="&quot;Placing the items mentioned above in the backlog seems unnatural. On the other hand, managing them someplace else means I will either duplicate the VersionOne information in the other system, or I will have two systems tracking the development tasks.&quot;"/>
    <s v="OK"/>
    <m/>
    <m/>
    <s v="1. all work including bugs, training, and research managed from Product Backlog to avoid hidden costs._x000a__x000a_2. no invisible work - all non-feature stories managed from Product Backlog._x000a__x000a_3. reformulating additional work items as user stories for Product Backlo"/>
    <s v="1. In Scrum, all work chargeable to the project belongs on the Product Backlog. This includes bugs, training, and research in addition to features. While it is a widely-accepted practice to formulate user stories for placement on the Product Backlog, Scru"/>
    <m/>
    <n v="11"/>
    <s v="1. In Scrum, all work chargeable to the project belongs on the Product Backlog. This includes bugs, training, and research in addition to features. While it is a widely-accepted practice to formulate user stories for placement on the Product Backlog, Scru"/>
    <s v="1 - A user story is just a format for work items. While it is a widely-accepted practice to formulate user stories for placement on the Product Backlog, Scrum doesn't constrain the format._x000a__x000a_2 - Non-Feature Stories_x000a_CodeGnome's Law of Transparency says &quot;No "/>
  </r>
  <r>
    <n v="398317"/>
    <s v="Software Engineering"/>
    <m/>
    <s v="https://softwareengineering.stackexchange.com/questions/"/>
    <s v="Do user stories need to be Independent and Valuable or Independently Valuable?"/>
    <s v="CA: Discussão apta para análise (discussão que aborda problemas com user stories)"/>
    <n v="2019"/>
    <n v="2019"/>
    <s v="Não consta"/>
    <s v="Histórias tecnicamente independentes, mas não valiosas isoladamente"/>
    <s v="Dificuldade em aplicar o critério INVEST ao fatiar histórias interdependentes por questões regulatórias"/>
    <s v="stories implemented independently"/>
    <s v="These stories could be implemented independently but are valuable only in conjunction with each other"/>
    <s v="User stories lacking user value orientation"/>
    <s v="User Story Issues"/>
    <s v="These stories could be implemented independently but are valuable only in conjunction with each other. Is this a valid way of splitting or do the stories also need to be independently valuable?"/>
    <s v="&quot;Applying INVEST to these new stories gives us some issues. These stories could be implemented independently but are valuable only in conjunction with each other.&quot;"/>
    <s v="OK"/>
    <s v="Não informado explicitamente"/>
    <s v="INVEST (Agile)"/>
    <s v="INVEST (Agile)"/>
    <x v="0"/>
    <s v="Applying INVEST to these new stories gives us some issues"/>
    <s v="eles usam a técnica INVEST para escrever User Stories mas não cita a metodologia exata"/>
    <s v="&quot;Applying INVEST to these new stories gives us some issues.&quot;"/>
    <s v="OK"/>
    <s v="Não mencionado"/>
    <s v="Não mencionado"/>
    <s v="Não mencionado"/>
    <x v="1"/>
    <s v="-"/>
    <s v="-"/>
    <s v="-"/>
    <s v="OK"/>
    <s v="Não mencionado"/>
    <s v="Não mencionado"/>
    <s v="Não mencionado"/>
    <x v="0"/>
    <s v="-"/>
    <s v="-"/>
    <s v="-"/>
    <s v="OK"/>
    <s v="Dúvida sobre independência vs. valor de negócio"/>
    <s v="Produção de itens de backlog que não possuem valor de negócio ou aceitação isolada"/>
    <s v="Dúvida sobre independência vs. valor de negócio"/>
    <s v="Uncertainty about independence versus business value"/>
    <s v="Lack of independence and value delivery issues"/>
    <s v="Product &amp; Value Effects"/>
    <s v="valuable stories with dependency"/>
    <s v="If we build just story 1 it seems not to be valuable. If we build just story 2... provides no value."/>
    <s v="&quot;If we build just story 1 it seems not to be valuable, because the business could not possibly accept the system [...] no user can gain value from it.&quot;"/>
    <s v="OK"/>
    <m/>
    <m/>
    <s v="1. each story should be valuable independently_x000a_2. stand alone story for the person who needs to look at the audit data_x000a_3. non functional requirement/DoD on any other stories"/>
    <s v="1 - Each story should be valuable independently. But don't get too hung up on it._x000a_-_x000a_In your case I would specify the auditing requirement in two parts._x000a_2 - As a stand alone story for the person who needs to look at the audit data:_x000a__x000a_&quot;As an Auditor I can re"/>
    <m/>
    <n v="33"/>
    <s v="1. Each story should be valuable independently. But don't get too hung up on it. The idea is to avoid partial functionality, ie spending ages doing something and being unable to demonstrate any progress towards the project goal. In your case I would speci"/>
    <s v="1 - Each story should be valuable independently. But don't get too hung up on it._x000a_-_x000a_In your case I would specify the auditing requirement in two parts._x000a_2 - As a stand alone story for the person who needs to look at the audit data:_x000a__x000a_&quot;As an Auditor I can re"/>
  </r>
  <r>
    <n v="41750"/>
    <s v="Software Engineering"/>
    <m/>
    <s v="https://softwareengineering.stackexchange.com/questions/"/>
    <s v="Many user stories share the same technical tasks: what to do?"/>
    <s v="CA: Discussão apta para análise (discussão que aborda problemas com user stories)"/>
    <n v="2011"/>
    <n v="2011"/>
    <s v="L'Aquila, Itália"/>
    <s v="Dependência entre histórias"/>
    <s v="Histórias com dependências"/>
    <s v="Stories with dependencies"/>
    <s v="dependency between user stories"/>
    <s v="User stories lacking user value orientation"/>
    <s v="User Story Issues"/>
    <s v="Here the problem is whether we should ignore the principle of having isolated user stories (without any dependency between them)."/>
    <s v="&quot;Here the problem is whether we should ignore the principle of having isolated user stories (without any dependency between them).&quot;"/>
    <s v="OK"/>
    <s v="Scrum (subtendido)"/>
    <s v="Não mencionado diretamente"/>
    <s v="Scrum (subentendido"/>
    <x v="0"/>
    <s v="user stories available for PO selection at any time."/>
    <s v=" Everyone in the team knows that each user story could be picked up by the PO for the next iteration at any time"/>
    <s v="&quot;Everyone in the team knows that each user story could be picked up by the PO for the next iteration at any time&quot;"/>
    <s v="OK"/>
    <s v="Sprint Planning (subtendido)"/>
    <s v="Sprint planning (subentendio)"/>
    <s v="Sprint planning (subentendio)"/>
    <x v="1"/>
    <s v="estimating complex and non-obvious tasks"/>
    <s v=" When estimating the first of those stories, the team decided that the function call mechanism would have been an engaging but not completely obvious task"/>
    <s v="&quot;When estimating the first of those stories, the team decided that the function call mechanism would have been an engaging but not completely obvious task&quot;"/>
    <s v="OK"/>
    <s v="Não mencionado diretamente"/>
    <s v="Não mencionado diretamente"/>
    <s v="Não mencionado diretamente"/>
    <x v="0"/>
    <s v="-"/>
    <s v="Ele menciona o PO na terceira pessoa, Isso significa que ele não é o PO."/>
    <s v="&quot;The team, together with the PO, put on the wall a certain number of user stories regarding the various libraries for the IDE user&quot;"/>
    <s v="Ele menciona o PO na terceira pessoa, Isso significa que ele não é o PO."/>
    <s v="Estimativa inflacionada"/>
    <s v="Estimativa aumenta"/>
    <s v="Estimativa inflacionada"/>
    <s v="Inflated estimation"/>
    <s v="Estimation uncertainty and inaccuracy"/>
    <s v="Planning &amp; Estimation Effects"/>
    <s v="unrealistic increase in story points"/>
    <s v="his immediately raised up the total points for the product of 20 points! [...] those 20 points feel so awfully unrealistic!"/>
    <s v="&quot;This immediately raised up the total points for the product of 20 points!&quot;"/>
    <s v="OK"/>
    <m/>
    <m/>
    <s v="1. splitting tasks into common once, common repeated, and specific for estimation._x000a__x000a_2. talking with PO and customers about architecture instead of just list of stories._x000a__x000a_3. adding dependency points to first story and noting order of dependent stories._x000a__x000a_4."/>
    <s v="1. Split the tasks into three groups: (1) Common tasks needed only once, (2) Common repeated tasks, and (3) Specific tasks. Estimate each task separately, where common tasks are estimated only once. When presenting to the customer, give two estimates for "/>
    <m/>
    <n v="3"/>
    <s v="1. Split the tasks into three groups: (1) Common tasks needed only once, (2) Common repeated tasks, and (3) Specific tasks. Estimate each task separately, where common tasks are estimated only once. When presenting to the customer, give two estimates for "/>
    <s v="1 - then I would split the tasks that make up each story into three groups:_x000a__x000a_Common tasks, needed once: Tasks that occur for multiple stories, but which only have to be actually done only once for the first story. The mentioned function call mechanism wou"/>
  </r>
  <r>
    <n v="147937"/>
    <s v="Software Engineering"/>
    <m/>
    <s v="https://softwareengineering.stackexchange.com/questions/"/>
    <s v="How much detail about a user story can a developer expect?"/>
    <s v="CA: Discussão apta para análise (discussão que aborda problemas com user stories)"/>
    <n v="2012"/>
    <n v="2012"/>
    <s v="Não consta"/>
    <s v="Requisitos insuficientes fornecidos"/>
    <s v="Falta de informação"/>
    <s v="Insufficient requirements provided"/>
    <s v="insufficient/poor requirements information"/>
    <s v="Lack of clarity and completeness in user stories"/>
    <s v="User Story Issues"/>
    <s v="&quot;But often enough I find myself in the situation that such information is not provided or in very shoddy fashion.&quot;"/>
    <s v="&quot;But often enough I find myself in the situation that such information is not provided or in very shoddy fashion.&quot;"/>
    <s v="OK"/>
    <s v="Agile"/>
    <s v="Agile"/>
    <s v="Agile"/>
    <x v="0"/>
    <s v="drawback of agile for non-development people"/>
    <s v="The biggest drawback of agile development I have experienced [...] I've read something like 2 pages in natural language per story in &quot;Planning XP&quot;"/>
    <s v="&quot;The biggest drawback of agile development I have experienced is that people not involved in development focus on the mantra that a user story...&quot;"/>
    <s v="OK"/>
    <s v="Definição de requisitos / refinamento (subtendido)"/>
    <s v="Definição de requisitos"/>
    <s v="Definição de requisitos"/>
    <x v="1"/>
    <s v="developer committing to estimates for project managers"/>
    <s v="Giving this sentence, project managers expect me as a developer to commit to an estimate and develop the story. "/>
    <s v="&quot;Giving this sentence, project managers expect me as a developer to commit to an estimate and develop the story.&quot;"/>
    <s v="OK"/>
    <s v="Desenvolvedor "/>
    <s v="Desenvolvedor"/>
    <s v="Desenvolvedor"/>
    <x v="1"/>
    <s v="developer expected to commit to estimates by project managers"/>
    <s v="Giving this sentence, project managers expect me as a developer to commit to an estimate"/>
    <s v="&quot;Giving this sentence, project managers expect me as a developer to commit to an estimate and develop the story.&quot;"/>
    <s v="OK"/>
    <s v="Estimativas imprecisas"/>
    <s v="Estimativas imprecisas"/>
    <s v="Estimativas imprecisas"/>
    <s v="Inaccurate estimates"/>
    <s v="Estimation uncertainty and inaccuracy"/>
    <s v="Planning &amp; Estimation Effects"/>
    <s v="Misconception that agile methodology requires minimal documentation."/>
    <s v=" They assume that agile development means that sentences like this are all they have to provide to developers."/>
    <s v=" They assume that agile development means that sentences like this are all they have to provide to developers."/>
    <s v="OK"/>
    <m/>
    <s v="5. Prioritize customer-relevant details or avoid unnecessary technical specifics.                                                                                                                                                                              "/>
    <s v="1. breaking large user story into smaller stories delivering minimum value quickly._x000a__x000a_2. breaking down stories with 8 or more points into smaller stories._x000a__x000a_3. defining clear exit criteria for user stories._x000a__x000a_4. minimizing lag time between development and cl"/>
    <s v="1. What you are calling a user story, I see as at least six: one bare-bones search, and one for each of your bullet points. By all means, make enough plans to avoid painting yourself into a corner that's going to be expensive to get out of, but the whole "/>
    <m/>
    <n v="6"/>
    <s v="1. What you are calling a user story, I see as at least six: one bare-bones search, and one for each of your bullet points. By all means, make enough plans to avoid painting yourself into a corner that's going to be expensive to get out of, but the whole "/>
    <s v="1 - You're missing the point of agile a little bit. What you are calling a user story, I see as at least six: one bare-bones search, and one for each of your bullet points. By all means, make enough plans to avoid painting yourself into a corner that's go"/>
  </r>
  <r>
    <n v="31666"/>
    <s v="Project Management"/>
    <m/>
    <s v="https://pm.stackexchange.com/questions/"/>
    <s v="How to implement unit testing with a small Scrum team without spending half the Sprint unit-testing stories?"/>
    <s v="CA: Discussão apta para análise (discussão que aborda problemas com user stories)"/>
    <n v="2021"/>
    <n v="2021"/>
    <s v="Não consta"/>
    <s v="Unit testing aumentando esforço e causando falha nas Sprints"/>
    <s v="Inexperiência "/>
    <s v="testing as part of our Definition of Done for user stories"/>
    <s v="unit testing as part of our Definition of Done for our user stories"/>
    <s v="Process/workflow issues around user stories"/>
    <s v="User Story related Issues"/>
    <s v="testing is taking as much time, if not more, than the development/coding time...This has led us to fail sprints... unit testing ends up taking so long that the stories don't get finished before the end of the Sprint. "/>
    <s v="&quot;we've started implementing unit testing as part of our Definition of Done for our user stories. [..] we're now having an issue where testing is taking as much time [...] My devs are not used to the unit testing framework and are still learning.&quot;"/>
    <s v="?"/>
    <s v="Scrum"/>
    <s v="Scrum"/>
    <s v="Scrum"/>
    <x v="2"/>
    <s v="working in Scrum with 2 weeks Sprints"/>
    <s v="working in Scrum with 2 weeks Sprints. implementing unit testing as part of our Definition of Done"/>
    <s v="&quot;working in Scrum with 2 weeks Sprints.&quot;"/>
    <s v="OK"/>
    <s v="Sprint"/>
    <s v="Não mencionado"/>
    <s v="Sprint"/>
    <x v="0"/>
    <s v="...fail sprints... before the end of the Sprint. "/>
    <s v="...fail sprints... before the end of the Sprint. "/>
    <s v="-"/>
    <s v="?"/>
    <s v="Gerente de projetos/UX (subtendido)"/>
    <s v="Não mencionado"/>
    <s v="Não mencionado diretamente"/>
    <x v="0"/>
    <s v="-"/>
    <s v="We are a very small team (1 front-end developer, 1 back-end developer/solution architect, 1 PM/UX)[...] There are only two of them, each with their own specialty (front-end and back-end) so they have to do both the coding and the unit testing for their si"/>
    <s v="-"/>
    <s v="?"/>
    <s v="Falha nas Sprints por não concluir histórias dentro do tempo"/>
    <s v="Falha na sprint"/>
    <s v="Falha nas Sprints por não concluir histórias dentro do tempo"/>
    <s v="Sprint failures due to not completing stories on time"/>
    <s v="Sprint instability and planning issues"/>
    <s v="Process &amp; Workflow Effects"/>
    <s v="fail sprint, testing"/>
    <s v="This has led us to fail sprints because unit testing ends up taking so long that the stories don't get finished before the end of the Sprint."/>
    <s v="&quot;This has led us to fail sprints because unit testing ends up taking so long that the stories don't get finished before the end of the Sprint.&quot;"/>
    <s v="OK"/>
    <m/>
    <s v="2. Add team members when existing capacity cannot meet quality expectations."/>
    <s v="1. improve your estimations to take that into account_x000a_2. hire another Frontend developer and backend developer_x000a_3. hiring more people gives you a chance to improve your processes_x000a_4. get your team to production size_x000a_5. testing as an expected and necessary c"/>
    <s v="1 - But now you need to deliver production quality software. And that takes longer than prototypes. There is little you can do. Improve your estimations to take that into account so you don't fail sprints._x000a__x000a_2 - But if your team is not producing enough at "/>
    <m/>
    <n v="40"/>
    <s v="1. Your estimations are completely off, because up to now you have not delivered working, production ready software, you have delivered half-tested prototypes. Improve your estimations to take that into account so you don't fail sprints. If your team is n"/>
    <s v="1 - But now you need to deliver production quality software. And that takes longer than prototypes. There is little you can do. Improve your estimations to take that into account so you don't fail sprints._x000a__x000a_2 - But if your team is not producing enough at "/>
  </r>
  <r>
    <n v="14189"/>
    <s v="Project Management"/>
    <m/>
    <s v="https://pm.stackexchange.com/questions/"/>
    <s v="Is it ok to define a user story that has no real business value without another story?"/>
    <s v="CA: Discussão apta para análise (discussão que aborda problemas com user stories)"/>
    <n v="2015"/>
    <n v="2015"/>
    <s v="Lyon, França"/>
    <s v="Dependência entre histórias"/>
    <s v="Histórias dependentes"/>
    <s v="dependence between stories"/>
    <s v="Histórias de usuário sem valor independente"/>
    <s v="User stories lacking user value orientation"/>
    <s v="User Story Issues"/>
    <s v="The problems I see with having 2 separate stories is that: US2 depends on US1 to be achievable (this breaks the I of INVEST right ?)._x000a_US1 without US2 does not bring any real business value. Releasing the product with only US1 would provide the capability "/>
    <s v="&quot;Is it ok to define a user story that has no real business value without another story?&quot;"/>
    <s v="?"/>
    <s v="Scrum"/>
    <s v="Scrum"/>
    <s v="Scrum"/>
    <x v="2"/>
    <s v="challenges in using Scrum and user stories"/>
    <s v="I'm struggling to find the best way to use scrum and user stories on the following case"/>
    <s v="&quot;I'm struggling to find the best way to use scrum and user stories&quot;"/>
    <s v="OK"/>
    <s v="Não mencionado"/>
    <s v="Não mencionado"/>
    <s v="Não mencionado"/>
    <x v="1"/>
    <s v="-"/>
    <s v="-"/>
    <s v="-"/>
    <s v="OK"/>
    <s v="Não mencionado"/>
    <s v="Não mencionado"/>
    <s v="Não mencionado"/>
    <x v="0"/>
    <s v="-"/>
    <s v="O autor não se identifica como Product Owner, apenas menciona o papel."/>
    <s v="-"/>
    <s v="O autor não se identifica como Product Owner, apenas menciona o papel."/>
    <s v="Falta de valor isolado"/>
    <s v="Atraso na implementação"/>
    <s v="Falta de valor isolado"/>
    <s v="Lack of standalone value"/>
    <s v="Lack of independence and value delivery issues"/>
    <s v="Product &amp; Value Effects"/>
    <s v="dependency between user stories making one useless without the other"/>
    <s v="Releasing the product with only US1 would provide the capability to design card views that are useless without US2."/>
    <s v="&quot;US1 without US2 does not bring any real business value.&quot;"/>
    <s v="Releasing the product with only US1 would provide the capability to design card views that are useless without US2."/>
    <m/>
    <s v="5. Delivery means ready to ship, not necessarily released, release is driven by business value."/>
    <s v="1. keeping dependent stories separate and delivering potentially shippable product._x000a__x000a_2. delivering small vertical slices of end-user value across architecture layers._x000a__x000a_3. independent stories can be released separately based on business value._x000a__x000a_4. keeping "/>
    <s v="1. The best approach is to keep the stories separate. To demonstrate that users can use a 'card view' to browse the database only requires that some form of card view is available. Thus you can demonstrate US2 with one or two hard-coded card views and inf"/>
    <m/>
    <n v="17"/>
    <s v="1. The best approach is to keep the stories separate. To demonstrate that users can use a 'card view' to browse the database only requires that some form of card view is available. Thus you can demonstrate US2 with one or two hard-coded card views and inf"/>
    <s v="1 - The best approach i to keep the stories separate._x000a__x000a_2 - If you were to combine stories until they provide enough business value on their own, you might just as well go back to waterfall development, as the story would cover the entire product developme"/>
  </r>
  <r>
    <n v="403583"/>
    <s v="Software Engineering"/>
    <m/>
    <s v="https://softwareengineering.stackexchange.com/questions/"/>
    <s v="How to determine the cost of a story point?"/>
    <s v="CA: Discussão apta para análise (discussão que aborda problemas com user stories)"/>
    <n v="2020"/>
    <n v="2020"/>
    <s v="Costa Rica"/>
    <s v="Como determinar o custo monetário de um Story Point"/>
    <s v="Estimar custo de história"/>
    <s v="cost of a user story"/>
    <s v="How can I determine the monetary cost of a user story point in a given team?"/>
    <s v="Difficulties in estimating user stories"/>
    <s v="User Story related Issues"/>
    <s v="How can I determine the monetary cost of a user story point in a given team? I have no clue how one could determine the cost of a story point"/>
    <s v="&quot;How can I determine the monetary cost of a user story point in a given team?&quot;"/>
    <s v="OK"/>
    <s v="Scrum "/>
    <s v="Agile"/>
    <s v="Scrum "/>
    <x v="2"/>
    <s v="The team assigns T-shirt...planning poker... team velocity."/>
    <s v="The team assigns T-shirt...planning poker... team velocity."/>
    <s v="&quot;thinking in agile terms, I have no clue how one could determine the cost of a story point&quot;"/>
    <s v="?"/>
    <s v="Sprint / Planning Poker (Estimativa)"/>
    <s v="Planning poker"/>
    <s v="Planning poker"/>
    <x v="3"/>
    <s v="after trying planning poker for a while"/>
    <s v="after trying planning poker for a while...  team delivers (on average) the same amount of subjective story points per iteration"/>
    <s v="&quot;after trying planning poker for a while, the team calibrates their estimation subjectivity&quot;"/>
    <s v="OK"/>
    <s v="Desenvolvedor (subtendido)"/>
    <s v="Product Owner"/>
    <s v="Não menciona de forma direta o papel"/>
    <x v="0"/>
    <s v="-"/>
    <s v="my team has changed several of its members recently, some of the new members don't know the domain yet and/or have less professional experience. We won't know our velocity for a while."/>
    <s v="&quot;How can I determine the monetary cost of a user story point in a given team?&quot;"/>
    <s v="?"/>
    <s v="Impossibilidade de previsão de custo devido à variabilidade da velocidade"/>
    <s v="Falha na previsibilidade financeira"/>
    <s v="Impossibilidade de previsão de custo devido à variabilidade da velocidade"/>
    <s v="Inability to predict cost due to velocity variability"/>
    <s v="Estimation uncertainty and inaccuracy"/>
    <s v="Planning &amp; Estimation Effects"/>
    <s v="velocity, project cost"/>
    <s v="We won't know our velocity for a while.  how much a given project would cost."/>
    <s v="&quot;since the business is interested in determining how much a given project could cost them&quot;"/>
    <s v="OK"/>
    <s v="1. don't convert story points into money_x000a_2. story points do not convert to time_x000a_3. estimate how long it would take to do that particular chunk of work_x000a_4. Use story points as relative estimates, not as time or cost equivalents.                             "/>
    <s v="4. Use story points as relative estimates, not as time or cost equivalents.                                                                                                                                                                                    "/>
    <s v="1. don't convert story points into money_x000a_2. story points do not convert to time_x000a_3. estimate how long it would take to do that particular chunk of work_x000a_4. used as a relative measurement_x000a_5. entirely separate from your point estimates"/>
    <s v="1 - You don't convert story points into money. The cost of a software development effort is a function of the team for a period of time, perhaps considering resources if you forward those costs along. _x000a__x000a_2 - However, story points do not convert to time, so"/>
    <m/>
    <n v="38"/>
    <s v="1. You don't convert story points into money. The cost of a software development effort is a function of the team for a period of time. The common answer is that you know how long it takes to pay for a team to work for a period of time. Given an ordered s"/>
    <s v="1 - You don't convert story points into money. The cost of a software development effort is a function of the team for a period of time, perhaps considering resources if you forward those costs along. _x000a__x000a_2 - However, story points do not convert to time, so"/>
  </r>
  <r>
    <n v="22001"/>
    <s v="Project Management"/>
    <m/>
    <s v="https://pm.stackexchange.com/questions/"/>
    <s v="How to allocate story points on extremely complex user stories?"/>
    <s v="CA: Discussão apta para análise (discussão que aborda problemas com user stories)"/>
    <n v="2017"/>
    <n v="2017"/>
    <s v="Não consta"/>
    <s v="Estimativa com Story Points"/>
    <s v="Dificuldade em pontuar tarefas de infraestrutura/DevOps muito grandes"/>
    <s v="accurately apply story points to very big tasks"/>
    <s v="How do you accurately apply story points to very big tasks?"/>
    <s v="Poor decomposition and granularity of user stories"/>
    <s v="User Story Issues"/>
    <s v="How do you accurately apply story points to very big tasks? thanks"/>
    <s v="&quot;we cannot use the above metric properly because the task is just too big&quot;"/>
    <s v="?"/>
    <s v="Scrum"/>
    <s v="Não mencionado"/>
    <s v="Não mencionado"/>
    <x v="0"/>
    <s v="-"/>
    <s v="-"/>
    <s v="-"/>
    <s v="?"/>
    <s v="Não mencionado"/>
    <s v="Não mencionado"/>
    <s v="Não mencionado"/>
    <x v="1"/>
    <s v="-"/>
    <s v="-"/>
    <s v="-"/>
    <s v="OK"/>
    <s v="Time de Desenvolvimento"/>
    <s v="Não mencionado"/>
    <s v="Não mencionado"/>
    <x v="0"/>
    <s v="-"/>
    <s v="We currently allocated story points"/>
    <s v="-"/>
    <s v="?"/>
    <s v="Dificuldade de estimar tarefas grandes"/>
    <s v="Impossibilidade de subdividir a história para simplificar a mensuração da complexidade"/>
    <s v="Impossibilidade de subdividir a história para simplificar a mensuração da complexidade"/>
    <s v="Inability to break down the story to simplify complexity measurement"/>
    <s v="Difficulty in decomposition and task structuring"/>
    <s v="Structural &amp; Quality Effects"/>
    <s v="Structural &amp; Quality Effects"/>
    <s v="the task is just too big [...] try to break the user story further to make it easier to estimate it's complexity, but then find that we cannot since the story is the task."/>
    <s v="&quot;At which point, my approach is to try to break the user story further to make it easier to estimate it's complexity, but then find that we cannot since the story is the task.&quot;"/>
    <s v="OK"/>
    <s v="1. whole team and stakeholders agree on what estimating techniques measure_x000a__x000a_2. measure time directly_x000a__x000a_3. standup-to-standup timebox is a process control_x000a__x000a_4. story points are an intermediate value to estimate capacity_x000a__x000a_5. time estimations give a false feel"/>
    <s v="11. Story is too big, you may also convert it to an Epic and add Stories to them. "/>
    <s v="1. whole team and stakeholders agree on what estimating techniques measure_x000a__x000a_2. measure time directly_x000a__x000a_3. standup-to-standup timebox is a process control_x000a__x000a_4. story points are an intermediate value to estimate capacity_x000a__x000a_5. time estimations give a false feel"/>
    <s v="1- To be successful at agile estimation, make sure that the whole team and the stakeholders within the organization all agree on what your estimating techniques actually measure._x000a__x000a_2 - If you're only going through the motions of treating relative-sizing as"/>
    <m/>
    <n v="25"/>
    <s v="1. Story points are really just an intermediate value to estimate capacity. One of my favorites is TFB/NFC/1, which is a system where you determine if a story or set of stories: fits into a single Sprint (1), is too big to fit into a single Sprint and sho"/>
    <s v="1- To be successful at agile estimation, make sure that the whole team and the stakeholders within the organization all agree on what your estimating techniques actually measure._x000a__x000a_2 - If you're only going through the motions of treating relative-sizing as"/>
  </r>
  <r>
    <n v="26673"/>
    <s v="Project Management"/>
    <m/>
    <s v="https://pm.stackexchange.com/questions/"/>
    <s v="How far should you vertically slice?"/>
    <s v="CA: Discussão apta para análise (discussão que aborda problemas com user stories)"/>
    <n v="2019"/>
    <n v="2019"/>
    <s v="Não consta"/>
    <s v="Dificuldade de fatiar verticalmente (vertical slicing) em sistema complexo"/>
    <s v="Dificuldade em fatiar verticalmente histórias em sistemas distribuídos complexos"/>
    <s v="user story vertically slice"/>
    <s v=" there doesn't seem to be a way to break this down"/>
    <s v="Poor decomposition and granularity of user stories"/>
    <s v="User Story Issues"/>
    <s v="The problem now is using this user story to vertically slice... do we slice across the entire system?If we are to see each PBI as a deliverable unit that provides value to the user, there doesn't seem to be a way to break this down. Are we just being too "/>
    <s v="&quot;we've hit a roadblock regarding slicing the project. The project is a distributed system with many different components&quot;"/>
    <s v="?"/>
    <s v="Scrum"/>
    <s v="Scrum"/>
    <s v="Scrum"/>
    <x v="2"/>
    <s v="We are a small team of 4 software developers trying to use Scrum"/>
    <s v="We are a small team of 4 software developers trying to use Scrum."/>
    <s v="&quot;We are a small team of 4 software developers trying to use Scrum.&quot;"/>
    <s v="OK"/>
    <s v="Não mencionado"/>
    <s v="Não mencionado"/>
    <s v="Não mencionado"/>
    <x v="1"/>
    <s v="-"/>
    <s v="-"/>
    <s v="-"/>
    <s v="OK"/>
    <s v="Time de Desenvolvimento"/>
    <s v="Desenvolvedor"/>
    <s v="Time de Desenvolvimento"/>
    <x v="1"/>
    <s v="We are a small team of 4 software developers "/>
    <s v="We are a small team of 4 software developers "/>
    <s v="&quot;We are a small team of 4 software developers&quot;"/>
    <s v="OK"/>
    <s v="Impossibilidade percebida de entregar incremento pequeno com valor"/>
    <s v="Sobrecarga técnica por exigir a implementação simultânea de toda a base do sistema"/>
    <s v="Impossibilidade percebida de entregar incremento pequeno com valor"/>
    <s v="Perceived inability to deliver small increments with value"/>
    <s v="Lack of independence and value delivery issues"/>
    <s v="Product &amp; Value Effects"/>
    <s v="we would need to implement all of the OAuth behaviour...most of the JS framework..."/>
    <s v="we would need to implement all of the OAuth behaviour...most of the JS framework... all the database structure... there doesn't seem to be a way to break this down."/>
    <s v="&quot;it seems we're biting off a monumental amount; we would need to implement all of the OAuth behaviour [...]&quot;"/>
    <s v="OK"/>
    <m/>
    <s v="1. Avoid overbuilding by delivering only what is needed through vertical slices.                                                                                                                                                                               "/>
    <s v="1. do not need the whole database right now_x000a_2. write to a local JSON file_x000a_3. don’t need a database_x000a_4. do you need a big Javascript SPA?_x000a_5. do you need a permissions structure?_x000a_6. delay creating the database as long as possible_x000a_7. keep it limited in scope_x000a_"/>
    <s v="1 - So the point of vertical slicing is to take something like the database and say precisely, “I do not need the whole database right now.” So let’s validate your claim: do you need the database?_x000a__x000a_2 - Let us be clear about what a database does: it distri"/>
    <m/>
    <n v="29"/>
    <s v="1. When you slice vertically you reduce each layer to only the subset of functionality which it needs to make the user story work. You are not trying to deliver one twentieth of the database simply because you have twenty user stories. You may often find "/>
    <s v="1 - So the point of vertical slicing is to take something like the database and say precisely, “I do not need the whole database right now.” So let’s validate your claim: do you need the database?_x000a__x000a_2 - Let us be clear about what a database does: it distri"/>
  </r>
  <r>
    <n v="25714"/>
    <s v="Project Management"/>
    <m/>
    <s v="https://pm.stackexchange.com/questions/"/>
    <s v="How to write a user story involving artistic work?"/>
    <s v="CA: Discussão apta para análise (discussão que aborda problemas com user stories)"/>
    <n v="2019"/>
    <n v="2019"/>
    <s v="Quebec, Canadá"/>
    <s v="Como definir e estimar histórias com trabalho artístico subjetivo e imprevisível"/>
    <s v="Dificuldade em definir e estimar histórias de usuário para trabalhos artísticos devido à sua natureza"/>
    <s v="subjective tasks"/>
    <s v=" the 2 first tasks are subjective, so the artist can take a long time doing iterations. the time to complete it can still be greater than the sprint, or the effort estimation could be way off. "/>
    <s v="Difficulties in estimating user stories"/>
    <s v="User Story related Issues"/>
    <s v="an artistic story can take a long time to finish, due to the nature of the work. the 2 first tasks are subjective, so the artist can take a long time doing iterations. the time to complete it can still be greater than the sprint, or the effort estimation "/>
    <s v="&quot;The main problem that I'm interested here is that an artistic story can take a long time to finish, due to the nature of the work."/>
    <s v="OK"/>
    <s v="Scrum"/>
    <s v="Scrum"/>
    <s v="Scrum"/>
    <x v="2"/>
    <s v="Using Scrum, what would be the way to define"/>
    <s v="Using Scrum, what would be the way to define, structure and estimate a user story...greater than the sprint..."/>
    <s v="&quot;Using Scrum, what would be the way to define, structure and estimate a user story, containing work for an artist?&quot;"/>
    <s v="OK"/>
    <s v="Sprint"/>
    <s v="Sprint"/>
    <s v="Sprint"/>
    <x v="0"/>
    <s v="the time to complete it can still be greater than the sprint,"/>
    <s v="greater than the sprint"/>
    <s v="&quot;the time to complete it can still be greater than the sprint, or the effort estimation could be way off.&quot;"/>
    <s v="OK"/>
    <s v="Não mencionado"/>
    <s v="Não mencionado"/>
    <s v="Não mencionado"/>
    <x v="0"/>
    <s v="-"/>
    <s v="O autor menciona fazer parte de um time multifuncional, mas não especifica sua função"/>
    <s v="-"/>
    <s v="?"/>
    <s v="Imprevisibilidade de estimativa e conflito com fatiamento vertical"/>
    <s v="Tasks subjetivas levam mais tempo"/>
    <s v="Imprevisibilidade de estimativa e conflito com fatiamento vertical"/>
    <s v="Estimation unpredictability and conflict with vertical slicing"/>
    <s v="Estimation uncertainty and inaccuracy"/>
    <s v="Planning &amp; Estimation Effects"/>
    <s v="breaking this story in smaller parts"/>
    <s v="effort estimation could be way off [...] breaking this story in smaller parts is making an &quot;horizontal slice&quot; of the app and not a &quot;vertical one&quot; as would be better. "/>
    <s v="&quot;the problem is that the 2 first tasks are subjective, so the artist can take a long time doing iterations.&quot;"/>
    <s v="?"/>
    <s v="1. biggest value to the user in the shortest time_x000a_2. not everything in the backlog has to be a User Story_x000a_3. backlog items should be close-ended_x000a_4. Prioritize early value delivery over complete or perfect solutions                                         "/>
    <s v="4. Prioritize early value delivery over complete or perfect solutions                                                                                                                                                                                          "/>
    <s v="1. biggest value to the user in the shortest time_x000a_2. not everything in the backlog has to be a User Story_x000a_3. backlog items should be close-ended_x000a_4. goal is to have a conceptual functional car_x000a_5. story too big to fit into a single iteration_x000a_6. apply the sa"/>
    <s v="1 - Now, to break this down, I want to ask two questions:_x000a__x000a_    What delivers the biggest value to the user in the shortest time (in traditional project management this was called weighted shortest job first, or WSJF)_x000a_    What are the riskiest unknowns in "/>
    <m/>
    <n v="35"/>
    <s v="1. Ask two questions: (1) What delivers the biggest value to the user in the shortest time? (2) What are the riskiest unknowns in delivering this to the user? Backlog items should be close-ended. The concept art could absolutely get more feedback that res"/>
    <s v="1 - Now, to break this down, I want to ask two questions:_x000a__x000a_    What delivers the biggest value to the user in the shortest time (in traditional project management this was called weighted shortest job first, or WSJF)_x000a_    What are the riskiest unknowns in "/>
  </r>
  <r>
    <n v="23855"/>
    <s v="Project Management"/>
    <m/>
    <s v="https://pm.stackexchange.com/questions/"/>
    <s v="How to plan 2 week sprints, when each story completed will generate multiple stories"/>
    <s v="CA: Discussão apta para análise (discussão que aborda problemas com user stories)"/>
    <n v="2018"/>
    <n v="2018"/>
    <s v="Não consta"/>
    <s v="Dificuldade de planejar backlog"/>
    <s v="Incerteza no planejamento de histórias que geram novas demandas imediatas"/>
    <s v="plan backlog"/>
    <s v="how to plan a backlog multiple sprints in advance."/>
    <s v="Process/workflow issues around user stories"/>
    <s v="User Story related Issues"/>
    <s v="does anyone have any tips on how to plan a backlog multiple sprints in advance. [...] It's beginning to get really tough committing to even a one week sprint as we can't commit a week's worth of user stories."/>
    <s v="&quot;because so much of what they do is unknown in advance, they generally end up doing a small piece of work, in which what must come next becomes clearer (multiple new stories per exploratory work)&quot;"/>
    <s v="?"/>
    <s v="Scrum"/>
    <s v="Scrum"/>
    <s v="Scrum"/>
    <x v="2"/>
    <s v="is in a similar situation working as part of a SCRUM team"/>
    <s v="I would like to know if anyone is in a similar situation working as part of a SCRUM team"/>
    <s v="&quot;I would like to know if anyone is in a similar situation working as part of a SCRUM team&quot;"/>
    <s v="OK"/>
    <s v="Sprint"/>
    <s v="Sprint planning"/>
    <s v="Sprint planning"/>
    <x v="2"/>
    <s v="Sprint Planning"/>
    <s v="not wait for the next 2 week sprint.[...] committing to even a one week sprint "/>
    <s v="&quot;It's beginning to get really tough committing to even a one week sprint as we can't commit a week's worth of user stories.&quot;"/>
    <s v="not wait for the next 2 week sprint.[...] committing to even a one week sprint "/>
    <s v="Time Scrum"/>
    <s v="Não mencionado"/>
    <s v="Não mencionado"/>
    <x v="0"/>
    <s v="-"/>
    <s v="The majority of our team are R&amp;D staff... various members... have struggled with creating backlogs."/>
    <s v="-"/>
    <s v="?"/>
    <s v="Imprevisibilidade e impossibilidade de compromisso"/>
    <s v="Incapacidade de comprometer o time com um backlog de sprint estável"/>
    <s v="Incapacidade de comprometer o time com um backlog de sprint estável"/>
    <s v="Inability to commit to a stable sprint backlog"/>
    <s v="Sprint instability and planning issues"/>
    <s v="Process &amp; Workflow Effects"/>
    <m/>
    <s v="because so much of what they do is unknown in advance...  new variables / methods / software / hardware / even the fundamental problem may change "/>
    <s v="&quot;we can't commit a week's worth of user stories. Any suggestions would be great.&quot;"/>
    <s v="?"/>
    <m/>
    <s v="1. Prefer flow-based approaches (e.g., Kanban) over fixed sprints when appropriate.                                                                                                                                                                            "/>
    <s v="1. Kanban might be a better solution_x000a_2. log it and add the relevant data to it_x000a_3. having a good description of the tasks"/>
    <s v="1 - Scrum, and fixed length sprints may not be the answer. Maybe the focus should be on the ability to groom stories and develop a backlog (when feasible) and to limit work in progress, so that the team members aren't overwhelmed. In such a case, Kanban m"/>
    <m/>
    <n v="27"/>
    <s v="1. Scrum, and fixed length sprints may not be the answer. Maybe the focus should be on the ability to groom stories and develop a backlog (when feasible) and to limit work in progress, so that the team members aren't overwhelmed. In such a case, Kanban mi"/>
    <s v="1 - Scrum, and fixed length sprints may not be the answer. Maybe the focus should be on the ability to groom stories and develop a backlog (when feasible) and to limit work in progress, so that the team members aren't overwhelmed. In such a case, Kanban m"/>
  </r>
  <r>
    <n v="30061"/>
    <s v="Project Management"/>
    <m/>
    <s v="https://pm.stackexchange.com/questions/"/>
    <s v="How do you estimate epics?"/>
    <s v="CA: Discussão apta para análise (discussão que aborda problemas com user stories)"/>
    <n v="2020"/>
    <n v="2020"/>
    <s v="Londres"/>
    <s v="Como estimar épicos vagos para previsão inicial"/>
    <s v="Epics imprecisos; Falta de refinamento;"/>
    <s v="estimate epics, stories that are epic because we don't know yet how to refine them"/>
    <s v="How do you get the team to estimate them? Epics have normally no acceptance criteria and are quite vague"/>
    <s v="Poorly defined or missing acceptance criteria"/>
    <s v="User Story Issues"/>
    <s v="Let's say we have a brand new project and we want to raughly come up with a bunch of releases and its dates. How do you get the team to estimate them? Epics have normally no acceptance criteria and are quite vague"/>
    <s v="&quot;The point is that we might have quite a few stories that are epic because we don't know yet how to refine them or did not have the time to do so or a conbination of the two.&quot;"/>
    <s v="?"/>
    <s v="Scrum"/>
    <s v="Não mencionado"/>
    <s v="Não mencionado"/>
    <x v="0"/>
    <s v="-"/>
    <s v="run a couple of sprints, figure the team's velocity and do the math."/>
    <s v="-"/>
    <s v="?"/>
    <s v="Sprint"/>
    <s v="Planejamento de releases"/>
    <s v="Planejamento de releases"/>
    <x v="5"/>
    <s v="we want to raughly come up with a bunch of releases"/>
    <s v="run a couple of sprints"/>
    <s v="&quot;we want to raughly come up with a bunch of releases and its dates to give the business a vague idea of when we will finish.&quot;"/>
    <s v="?"/>
    <s v="Não mencionado"/>
    <s v="Não mencionado"/>
    <s v="Não mencionado"/>
    <x v="0"/>
    <s v="-"/>
    <s v="O autor menciona o time, mas não seu papel nele"/>
    <s v="-"/>
    <s v="?"/>
    <s v="Incerteza alta dificultando previsão de prazo"/>
    <s v="Confusão da equipe"/>
    <s v="Incerteza alta dificultando previsão de prazo"/>
    <s v="High uncertainty hindering schedule prediction"/>
    <s v="Estimation uncertainty and inaccuracy"/>
    <s v="Planning &amp; Estimation Effects"/>
    <s v="Epics have normally no acceptance criteria and are quite vague"/>
    <s v="Epics have normally no acceptance criteria and are quite vague so the team might get a bit puzzled."/>
    <s v="&quot;the team might get a bit puzzled.&quot;"/>
    <s v="OK"/>
    <m/>
    <m/>
    <s v="1. split that epic into stories and work on those stories_x000a_2. find out how many story points an epic has is by splitting it into stories_x000a_3. split large work items into finer details_x000a_4. relative sizing of items_x000a_5. put them in buckets of relative size"/>
    <s v="1 - Epics are much larger. They are collections of stories. You don't work on an epic, you split that epic into stories and work on those stories. The epic will then simply have the points of all its stories combined._x000a__x000a_2 - The way you find out how many st"/>
    <m/>
    <n v="37"/>
    <s v="1. You take your epics and you start discussing them enough to determine their size. You can discuss enough to say that this is 'Large'. You do this for all the epics and you put them in buckets of relative size: XXS, XS, S, M, L, XL, XXL. You can do this"/>
    <s v="1 - Epics are much larger. They are collections of stories. You don't work on an epic, you split that epic into stories and work on those stories. The epic will then simply have the points of all its stories combined._x000a__x000a_2 - The way you find out how many st"/>
  </r>
  <r>
    <n v="12641"/>
    <s v="Project Management"/>
    <m/>
    <s v="https://pm.stackexchange.com/questions/"/>
    <s v="What is the way to go to create tasks?"/>
    <s v="CA: Discussão apta para análise (discussão que aborda problemas com user stories)"/>
    <n v="2014"/>
    <n v="2014"/>
    <s v="Hamburgo, Alemanha"/>
    <s v="Mapeamento histórias tickets"/>
    <s v="Dificuldade na criação de tarefas"/>
    <s v="difficulty in creating tasks"/>
    <s v="Ticket structure: user stories or tasks"/>
    <s v="User stories framed as solutions or technical tasks"/>
    <s v="User Story Issues"/>
    <s v="What would a Task-Ticket look like?_x000a_Is it a user-story like: As a guest I want to be able to register myself with the site or should I split them into tickets/tasks like Create a registration page/form, Send an email to to the user when registered. Is it "/>
    <s v="&quot;I still have difficulties understanding how I exactly should use a ticket system, especially in the case of tickets for new features.&quot;"/>
    <s v="?"/>
    <s v="Não informado explicitamente"/>
    <s v="Não mencionado"/>
    <s v="Não mencionado"/>
    <x v="0"/>
    <s v="-"/>
    <s v="-"/>
    <s v="-"/>
    <s v="OK"/>
    <s v="Não mencionado"/>
    <s v="Não mencionado"/>
    <s v="Não mencionado"/>
    <x v="1"/>
    <s v="-"/>
    <s v="-"/>
    <s v="-"/>
    <s v="OK"/>
    <s v="Não mencionado"/>
    <s v="Não mencioando"/>
    <s v="Não mencionado"/>
    <x v="0"/>
    <s v="-"/>
    <s v="-"/>
    <s v="-"/>
    <s v="OK"/>
    <s v="Dúvida estrutural"/>
    <s v="Incerteza de como um ticket/task deve ser"/>
    <s v="Incerteza de como um ticket/task deve ser"/>
    <s v="Uncertainty about how a ticket/task should be defined"/>
    <s v="Difficulty in decomposition and task structuring"/>
    <s v="Structural &amp; Quality Effects"/>
    <s v="Structural &amp; Quality Effects"/>
    <s v="But I still have difficulties understanding how I exactly should use a ticket system"/>
    <s v="&quot;The first thing I want to do now is to bring all the requirements into the tickets system as tasks.&quot;"/>
    <s v="&quot;The first thing I want to do now is to bring all the requirements into the tickets system as tasks.&quot;"/>
    <m/>
    <m/>
    <s v="1. maintaining relationship between task and parent user story to convey value to customer._x000a__x000a_2. issue tracking and task tracking as distinct activities._x000a__x000a_3. creating GitHub milestones for features/user stories with associated issues for tasks."/>
    <s v="1 - What is important is to maintain the relationship between the task and the parent user story as the story conveys the value to the customer that underlying tasks should enable upon implementation._x000a__x000a_2 - Finally, consider that issue tracking and task tr"/>
    <m/>
    <n v="16"/>
    <s v="1. Tasking is usually performed below the story level. Tasks written as directions: 'Do xyz...Create something...Research ABC.' Development stories are generally broken down into 4 different groups of tasks: Research, Implementation, Code Quality, QA/Test"/>
    <s v="1 - What is important is to maintain the relationship between the task and the parent user story as the story conveys the value to the customer that underlying tasks should enable upon implementation._x000a__x000a_2 - Finally, consider that issue tracking and task tr"/>
  </r>
  <r>
    <n v="34041"/>
    <s v="Project Management"/>
    <m/>
    <s v="https://pm.stackexchange.com/questions/"/>
    <s v="Acceptance Criteria for user story on interface adapting for devices with different resolutions"/>
    <s v="CA: Discussão apta para análise (discussão que aborda problemas com user stories)"/>
    <n v="2022"/>
    <n v="2022"/>
    <s v="Não consta"/>
    <s v="Dúvida sobre adequação de critérios de aceitação"/>
    <s v="Critério de aceitação de user storie"/>
    <s v="acceptance criteria for user story on interface adapting for multi-device Web based application."/>
    <s v="Would you say that the above user story and the acceptance criteria are adequate?"/>
    <s v="Poorly defined or missing acceptance criteria"/>
    <s v="User Story Issues"/>
    <s v="I'm working on acceptance criteria for user story on interface adapting for multi-device Web based application._x000a_I assumed that interface adapting should be very common issue for most of products, I have tried to google possible acceptance criteria, but ha"/>
    <s v="&quot;Would you say that the above user story and the acceptance criteria are adequate?&quot;"/>
    <s v="OK"/>
    <s v="Não informado explicitamente"/>
    <s v="Não mencionado"/>
    <s v="Não mencionado"/>
    <x v="0"/>
    <s v="-"/>
    <s v="-"/>
    <s v="-"/>
    <s v="OK"/>
    <s v="Refinamento / Escrita de User Story"/>
    <s v="Não mencionado"/>
    <s v="Não mencionado"/>
    <x v="1"/>
    <s v="-"/>
    <s v="As for acceptance criteria I have come up with following:"/>
    <s v="-"/>
    <s v="?"/>
    <s v="Autor da User Story"/>
    <s v="Não mencionado"/>
    <s v="Não mencionado"/>
    <x v="0"/>
    <s v="-"/>
    <s v="I'm working on acceptance criteria for user story... I have come up with following"/>
    <s v="-"/>
    <s v="?"/>
    <s v="Insegurança e dificuldade na definição de critérios de aceitação adequados para interface responsiva"/>
    <s v="Insegurança na história"/>
    <s v="Insegurança e dificuldade na definição de critérios de aceitação adequados para interface responsiva"/>
    <s v="Uncertainty and difficulty in defining adequate acceptance criteria for responsive interfaces"/>
    <s v="Quality assurance and validation issues"/>
    <s v="Structural &amp; Quality Effects"/>
    <s v="Structural &amp; Quality Effects"/>
    <s v="I have tried to google possible acceptance criteria, but had no much success. Would you say that the above user story and the acceptance criteria are adequate?"/>
    <s v="&quot;I have tried to google possible acceptance criteria, but had no much success._x000a__x000a_Would you say that the above user story and the acceptance criteria are adequate?&quot;"/>
    <s v="OK"/>
    <m/>
    <s v="3. Define responsive design standards for mobile, tablet, and desktop interfaces.                                                                                                                                                                              "/>
    <s v="1. acceptance criteria are a bit too specific on implementation details_x000a_2. capture general rules that apply no matter the device_x000a_3. application needs to be responsive"/>
    <s v="1 - I think that your acceptance criteria are a bit to specific on the implementation details. For example, “Main page” has to fit, then “Log in page” must fit, etc._x000a__x000a_2 - Your acceptance criteria should probably capture general rules that apply no matter "/>
    <m/>
    <n v="42"/>
    <s v="1. Your acceptance criteria should probably capture general rules that apply no matter the device then introduce some &quot;breakpoints&quot; for how many designs you want to build (basically the view port sizes where your @media queries start to dictate how elemen"/>
    <s v="1 - I think that your acceptance criteria are a bit to specific on the implementation details. For example, “Main page” has to fit, then “Log in page” must fit, etc._x000a__x000a_2 - Your acceptance criteria should probably capture general rules that apply no matter "/>
  </r>
  <r>
    <n v="232488"/>
    <s v="Software Engineering"/>
    <m/>
    <s v="https://softwareengineering.stackexchange.com/questions/"/>
    <s v="UX designers working one Sprint ahead"/>
    <s v="CA: Discussão apta para análise (discussão que aborda problemas com user stories)"/>
    <n v="2014"/>
    <n v="2015"/>
    <s v="Não consta"/>
    <s v="UX sem valor direto"/>
    <s v="UX sem valor em histórias"/>
    <s v="UX without value in stories"/>
    <s v="UX stories with no direct value for the user."/>
    <s v="User stories lacking user value orientation"/>
    <s v="User Story Issues"/>
    <s v="In our case the UX design stories don't provide such value (they are more like a backlog grooming activity)."/>
    <s v="&quot;However in Scrum you are only supposed to have user stories that provide value to the user. In our case the UX design stories don't provide such value (they are more like a backlog grooming activity).&quot;"/>
    <s v="OK"/>
    <s v="Scrum"/>
    <s v="Scrum"/>
    <s v="Scrum"/>
    <x v="2"/>
    <s v="User stories that add value to Scrum principles."/>
    <s v="However in Scrum you are only supposed to have user stories that provide value to the user. [...]  it goes somewhat against Scrum principles._x000a_"/>
    <s v="&quot;However in Scrum you are only supposed to have user stories that provide value to the user.&quot;"/>
    <s v="OK"/>
    <s v="Sprint Planning."/>
    <s v="Sprint planning"/>
    <s v="Sprint planning"/>
    <x v="2"/>
    <s v="Screen prototypes and specifications are needed for Sprint Planning estimation."/>
    <s v=" if you don't have screen mockups and clear specifications you can't really estimate the work during Sprint Planning."/>
    <s v="!you can't really estimate the work during Sprint Planning.!"/>
    <s v="OK"/>
    <s v="Não mencionado"/>
    <s v="Não mencionado"/>
    <s v="Não mencionado"/>
    <x v="0"/>
    <s v="-"/>
    <s v="O autor menciona designers de UX e desenvolvedores, mas não se identifica explicitamente como um deles."/>
    <s v="-"/>
    <s v="O autor menciona designers de UX e desenvolvedores, mas não se identifica explicitamente como um deles."/>
    <s v="Conflito com princípios"/>
    <s v="Ir contra os principios do Scrum"/>
    <s v="Ir contra os principios do Scrum"/>
    <s v="Violation of Scrum principles"/>
    <s v="Methodological inconsistency"/>
    <s v="Process &amp; Workflow Effects"/>
    <s v="practice working but violating Scrum principles"/>
    <s v="it goes somewhat against Scrum principles."/>
    <s v="&quot;It seems to work for us, but it goes somewhat against Scrum principles.&quot;"/>
    <s v="OK"/>
    <m/>
    <s v="6. Pipelining UX and development creates dependencies, waste, and reduces collaboration and value delivery."/>
    <s v="1. value not measured only in lines of shippable code._x000a__x000a_2. not getting hung up on scrum dogma if current approach delivers better software._x000a__x000a_3. scrum team must have all skills needed to create potentially releasable product._x000a__x000a_4. inspecting and adapting fr"/>
    <s v="1 - Value isn't measured only in lines of shippable code._x000a__x000a_2 - Don't get hung up on scrum dogma. Scrum is there to make you more efficient. If doing a UX story one sprint before you implement the UI helps you deliver better software, do it._x000a__x000a_3 - A basic r"/>
    <m/>
    <n v="19"/>
    <s v="1. Don't get hung up on scrum dogma. Scrum is there to make you more efficient. If doing a UX story one sprint before you implement the UI helps you deliver better software, do it._x000a__x000a_2. The main disadvantages are: (1) You are pipe-lining: if your designers"/>
    <s v="1 - Value isn't measured only in lines of shippable code._x000a__x000a_2 - Don't get hung up on scrum dogma. Scrum is there to make you more efficient. If doing a UX story one sprint before you implement the UI helps you deliver better software, do it._x000a__x000a_3 - A basic r"/>
  </r>
  <r>
    <n v="118123"/>
    <s v="Software Engineering"/>
    <m/>
    <s v="https://softwareengineering.stackexchange.com/questions/"/>
    <s v="In Scrum, what to do when story points and task hours don't roughly correlate?"/>
    <s v="CA: Discussão apta para análise (discussão que aborda problemas com user stories)"/>
    <n v="2011"/>
    <n v="2011"/>
    <s v="Não consta"/>
    <s v="Baixa, correlação, estimativas"/>
    <s v="Correlation, stoy points, task"/>
    <s v="Correlation, stoy points, task"/>
    <s v="correlation between story points and task hours"/>
    <s v="Difficulties in estimating user stories"/>
    <s v="User Story related Issues"/>
    <s v=" I noticed that the correlation between story points and task hours is not very good. That is, we often have stories of lesser points decomposed into a total task hours greater than stories of higher points."/>
    <s v="&quot;I noticed that the correlation between story points and task hours is not very good&quot;"/>
    <s v="OK"/>
    <s v="Scrum"/>
    <s v="Scrum"/>
    <s v="Scrum"/>
    <x v="2"/>
    <s v="team new to scrum"/>
    <s v="Our development team is pretty new to the scrum process"/>
    <s v="&quot;Our development team is pretty new to the scrum process&quot;"/>
    <s v="OK"/>
    <s v="Sprint Planning"/>
    <s v="Não mencionado"/>
    <s v="Não mencionado"/>
    <x v="1"/>
    <s v="-"/>
    <s v="At the planning phase, identify outliers after the task hour break-down process and look at these further. "/>
    <s v="Não mencionado"/>
    <s v="?"/>
    <s v="Não mencionado"/>
    <s v="Não mencionado"/>
    <s v="Não mencionado"/>
    <x v="0"/>
    <s v="-"/>
    <s v="Não há menção direta ao cargo._x000a_A pergunta usa &quot;nossa equipe de desenvolvimento&quot;, mas não identifica o papel do autor."/>
    <s v="&quot;...so I would like to help refine our methods to make better use of it.&quot; trecho que mais se aproxima do papel (TL/desenvolvedor)"/>
    <s v="Não há menção direta ao cargo._x000a_A pergunta usa &quot;nossa equipe de desenvolvimento&quot;, mas não identifica o papel do autor."/>
    <s v="Dúvida na estimativa"/>
    <s v="Má estimação"/>
    <s v="Má estimação"/>
    <s v="Poor estimation"/>
    <s v="Estimation uncertainty and inaccuracy"/>
    <s v="Planning &amp; Estimation Effects"/>
    <s v="poor correlation between sprint points and task hours"/>
    <s v=" it seems to me that if sprint points and task hours don't correlate well, then we must be doing a bad job at estimating either one or both of these."/>
    <s v="&quot;However, it seems to me that if sprint points and task hours don't correlate well, then we must be doing a bad job at estimating either one or both of these.&quot;"/>
    <s v="OK"/>
    <s v="1. Different purposes explain the poor correlation._x000a__x000a_2. 2: Assigning tasks based on the developer's skill level."/>
    <m/>
    <s v="1. Different purposes explain the poor correlation._x000a__x000a_2. 2: Assigning tasks based on the developer's skill level."/>
    <s v="1. They don't really collerate well because as you said, they are used for different purposes._x000a__x000a_2.   &quot;Also, you know your devs and there skill level, so if you have a junior dev, dont give him the 3's, but the 1's so that he does not drown. .&quot;"/>
    <m/>
    <n v="1"/>
    <s v="1. Record time spent in a task and use this information as feedback to help refine our estimation process by retrospectively identifying user stories which we under/over estimated._x000a__x000a_2. At the planning phase, identify outliers after the task hour break-dow"/>
    <s v="1 - They don't really collerate well because as you said, they are used for different purposes._x000a__x000a_2 - Velocity was designed to adjust developer's estimation against reality. When properly used, velocity will &quot;adjust&quot; those uncertainties in 3 or 4 sprints o"/>
  </r>
  <r>
    <n v="20827"/>
    <s v="Project Management"/>
    <m/>
    <s v="https://pm.stackexchange.com/questions/"/>
    <s v="Do user stories mean rework? How much is ok?"/>
    <s v="CA: Discussão apta para análise (discussão que aborda problemas com user stories)"/>
    <n v="2017"/>
    <n v="2017"/>
    <s v="Não consta"/>
    <s v="Rework excessivo "/>
    <s v="Histórias sequenciais gerando retrabalho"/>
    <s v="user stories seem to produce so much rework"/>
    <s v="I feel something is wrong when user stories seem to produce so much rework"/>
    <s v="Rework and delivery issues caused by user story problems"/>
    <s v="User Story related Issues"/>
    <s v="I feel something is wrong when user stories seem to produce so much rework! [...] What would be the best Scrum approach here? Should there be something like a special Sprint for architecure/ design at the beginning (and from time to time again)?"/>
    <s v="&quot;But I fear and expect a lot of rework when we implement these stories sequentially in several sprints&quot;"/>
    <s v="?"/>
    <s v="Scrum"/>
    <s v="Scrum"/>
    <s v="Scrum"/>
    <x v="2"/>
    <s v="We are currently setting up a scrum team"/>
    <s v="We are currently setting up a scrum team [...] Ok, now we are going to use Scrum for the first time. Next week will be the first Sprint Planning"/>
    <s v="&quot;now we are going to use Scrum for the first time.&quot;"/>
    <s v="OK"/>
    <s v="Sprint Planning"/>
    <s v="Sprint planning"/>
    <s v="Sprint planning"/>
    <x v="2"/>
    <s v="Sprint Planning"/>
    <s v="Next week will be the first Sprint Planning Meeting and I know the user stories are like"/>
    <s v="&quot;Next week will be the first Sprint Planning Meeting and I know the user stories are like&quot;"/>
    <s v="OK"/>
    <s v="Não mencionado"/>
    <s v="Não mencionado"/>
    <s v="Não mencionado"/>
    <x v="0"/>
    <s v="-"/>
    <s v="O autor menciona o PO, mas não se coloca no cargo"/>
    <s v="-"/>
    <s v="?"/>
    <s v="Medo de retrabalho"/>
    <s v="Modificar regras e interfaces de histórias já finalizadas"/>
    <s v="Medo de retrabalho"/>
    <s v="Fear of rework"/>
    <s v="Rework and future pressure"/>
    <s v="Human &amp; Social Effects"/>
    <m/>
    <s v="I fear and expect a lot of rework [...]  refactoring from design A to design B is more expensive"/>
    <s v="&quot; In story n+1 we have to extend UI from story n, extend and modify the rules from story n.&quot;"/>
    <s v="?"/>
    <m/>
    <s v="1. Iterative approach prioritizes high-value rework and enables faster delivery and feedback"/>
    <s v="1. iterative approach enables you to select rework which brings the most value"/>
    <s v="1 - Rework done under iterative approach (which may have user stories as its part) is still rework. But the approach enables you to select rework which brings the most value, deliver it faster and get feedback faster."/>
    <m/>
    <n v="26"/>
    <s v="1. During your Planning Meetings, the Team goes through each of the stories in the Product Backlog, starting from the highest priority and working downward. For each story, the Development Team collaboratively come up with an estimate of the relative effo"/>
    <s v="1 - Rework done under iterative approach (which may have user stories as its part) is still rework. But the approach enables you to select rework which brings the most value, deliver it faster and get feedback faster."/>
  </r>
  <r>
    <n v="392860"/>
    <s v="Software Engineering"/>
    <m/>
    <s v="https://softwareengineering.stackexchange.com/questions/"/>
    <s v="How do I break down a feature that has complex dependencies?"/>
    <s v="CA: Discussão apta para análise (discussão que aborda problemas com user stories)"/>
    <n v="2019"/>
    <n v="2019"/>
    <s v="Cardiff, Reino Unido"/>
    <s v="Dificuldade em criar histórias modelo INVEST"/>
    <s v="Dificuldade em aderir ao Scrum e ao INVEST devido a dependências estreitas"/>
    <s v="adhere to Scrum and INVEST, make them independent and releasable"/>
    <s v="I'm struggling to adhere to Scrum and INVEST"/>
    <s v="Process/workflow issues around user stories"/>
    <s v="User Story related Issues"/>
    <s v="I'm struggling to adhere to Scrum and INVEST... It's specifically the ability to make them independent and releasable that I just can't seem to fathom. "/>
    <s v="&quot;I'm struggling to adhere to Scrum and INVEST when speccing projects because of how tightly dependent they all are on each other.&quot;"/>
    <s v="OK"/>
    <s v="Scrum"/>
    <s v="Scrum / Princípios INVEST"/>
    <s v="Scrum / Princípios INVEST"/>
    <x v="2"/>
    <s v="However, in Scrum, using INVEST principles,"/>
    <s v="However, in Scrum, using INVEST principles, each story should be at the very least releasable and independent."/>
    <s v="&quot;However, in Scrum, using INVEST principles, each story should be at the very least releasable and independent.&quot;"/>
    <s v="OK"/>
    <s v="Não mencionado"/>
    <s v="Não mencionado"/>
    <s v="Não mencionado"/>
    <x v="1"/>
    <s v="-"/>
    <s v="-"/>
    <s v="-"/>
    <s v="OK"/>
    <s v="Não mencionado"/>
    <s v="Não mencionado"/>
    <s v="Não mencionado"/>
    <x v="0"/>
    <s v="-"/>
    <s v="-"/>
    <s v="-"/>
    <s v="OK"/>
    <s v="Percepção de dependências técnicas"/>
    <s v="Incapacidade de tornar as histórias independentes e entregáveis"/>
    <s v="Percepção de dependências técnicas"/>
    <s v="Perception of technical dependencies"/>
    <s v="Lack of independence and value delivery issues"/>
    <s v="Product &amp; Value Effects"/>
    <s v="dependency for the entire project."/>
    <s v=" I cannot do the validation until the backend endpoint and the frontend modal window has been completed...we need the database schema...  which acts as a dependency for the entire project."/>
    <s v="&quot;However, in this case... this fails the test of being independent and releasable.&quot;"/>
    <s v="?"/>
    <m/>
    <m/>
    <s v="1. don't break down the item_x000a_2. break down the item into smaller pieces_x000a_3. lean towards breaking it down"/>
    <s v="1 - First, don't break down the item. In this case, the work item (the story, ticket, whatever) represents the minimum valuable delivery of the work and can be estimated by the team and worked on._x000a__x000a_2 - Second, break down the item into smaller pieces, each"/>
    <m/>
    <n v="31"/>
    <s v="1. First, don't break down the item. The work item represents the minimum valuable delivery of the work and can be estimated by the team. The team may break this out into subtasks and work on it, but the work is tracked at that level. Second, break down t"/>
    <s v="1 - First, don't break down the item. In this case, the work item (the story, ticket, whatever) represents the minimum valuable delivery of the work and can be estimated by the team and worked on._x000a__x000a_2 - Second, break down the item into smaller pieces, each"/>
  </r>
  <r>
    <n v="7953"/>
    <s v="Project Management"/>
    <m/>
    <s v="https://pm.stackexchange.com/questions/"/>
    <s v="How to keep all the developers on the same page in Scrum?"/>
    <s v="CA: Discussão apta para análise (discussão que aborda problemas com user stories)"/>
    <n v="2012"/>
    <n v="2012"/>
    <s v="Chennai, Índia"/>
    <s v="Conhecimento centralizado histórias"/>
    <s v="Conhecimento centralizado histórias"/>
    <s v="centralized knowledge stories"/>
    <s v="team unwilling to switch user stories"/>
    <s v="Process/workflow issues around user stories"/>
    <s v="User Story related Issues"/>
    <s v="A dev team is willing to work only on the same user story which they have started previously, stating that they know it very well and will finish it easily."/>
    <s v="&quot;A dev team is willing to work only on the same user story which they have started previously, stating that they know it very well and will finish it easily.&quot;"/>
    <s v="OK"/>
    <s v="Scrum (subtendido)"/>
    <s v="Scrum"/>
    <s v="Scrum"/>
    <x v="2"/>
    <s v="keeping developers aligned in Scrum"/>
    <s v="&quot;How to keep all the developers on the same page in Scrum?&quot;"/>
    <s v="&quot;How to keep all the developers on the same page in Scrum?&quot;"/>
    <s v="OK"/>
    <s v="Sprint Planning"/>
    <s v="Sprint planning"/>
    <s v="Sprint planning"/>
    <x v="2"/>
    <s v="sprint planning meeting taking too long"/>
    <s v="If it is covered during sprint planning meeting then the meeting will take more than a day to discuss everything."/>
    <s v="&quot; If it is covered during sprint planning meeting then the meeting will take more than a day to discuss everything.&quot;"/>
    <s v="OK"/>
    <s v="Desenvolvedor (subtendido)"/>
    <s v="Desenvolvedor (subentendido)"/>
    <s v="Desenvolvedor (subentendido)"/>
    <x v="0"/>
    <s v="small team of 6 developers"/>
    <s v="We are a small team of 6 developers"/>
    <s v="&quot;We are a small team of 6 developers.&quot;"/>
    <s v="OK"/>
    <s v="Baixo compartilhamento conhecimento"/>
    <s v="Pouca comunicação"/>
    <s v="Pouca comunicação"/>
    <s v="Lack of communication"/>
    <s v="Communication and collaboration issues"/>
    <s v="Human &amp; Social Effects"/>
    <s v="keeping developers informed about user stories"/>
    <s v="How to keep all developers informed about all user stories? "/>
    <s v="&quot;How to keep all developers informed about all user stories?&quot;"/>
    <s v="OK"/>
    <m/>
    <s v="3. Leverage diverse team skills by involving multiple members in each story"/>
    <s v="1. demonstrating value of sharing user stories by simulating team member removal._x000a__x000a_2. retrospective to determine team bus factor._x000a__x000a_3. user stories touched by as many team members as needed based on skills."/>
    <s v="1.  you can demonstrate why it is good to share or switch user stories (until it doesn't risk the delivery dates). Take the last Sprint as an example, and pick one team member, and ask the team what would have happened if got removed from the team in the "/>
    <m/>
    <n v="7"/>
    <s v="1.  you can demonstrate why it is good to share or switch user stories (until it doesn't risk the delivery dates). Here are a couple of reasons:_x000a_the quality of the feedback is better; it is easier to get help with; technical issues; the integration of the"/>
    <s v="1 - I suggest to have a retrospective, where you'll try determine the bus factor of the team (how many members should leave the team in order to make the delivery impossible)._x000a__x000a_2 - Such idea puzzles me of course, cause if your team has variety of skills, "/>
  </r>
  <r>
    <n v="127300"/>
    <s v="Software Engineering"/>
    <m/>
    <s v="https://softwareengineering.stackexchange.com/questions/"/>
    <s v="I would like to improve in writing goal-oriented user stories/features"/>
    <s v="CA: Discussão apta para análise (discussão que aborda problemas com user stories)"/>
    <n v="2011"/>
    <n v="2012"/>
    <s v="Eslovênia"/>
    <s v="Dificuldade escrever histórias "/>
    <s v="Dificuldade em escrever user stories"/>
    <s v="difficulty in writing stories"/>
    <s v="improving user story writing"/>
    <s v="User story writing improvement need"/>
    <s v="User Story Issues"/>
    <s v="I would like to improve my user stories writing abilities so I need your experience and guidance."/>
    <s v="&quot;&quot;I would like to improve my user stories writing abilities so I need your experience and guidance.&quot;"/>
    <s v="OK"/>
    <s v="Agile (subtendido)"/>
    <s v="Não mencionada"/>
    <s v="Não mencionada"/>
    <x v="0"/>
    <s v="-"/>
    <s v="É mencionado sprints e o uso de User Stories, a metodologia não é explicita"/>
    <s v="-"/>
    <s v="?"/>
    <s v="Sprint Planning (subtendido)"/>
    <s v="Não mencionada"/>
    <s v="Não mencionada"/>
    <x v="1"/>
    <s v="-"/>
    <s v="Breaking relationships also helps better sprint cycles because one story can't stall the whole sprint."/>
    <s v="Não mencionado"/>
    <s v="Não mencionado"/>
    <s v="Não informado explicitamente"/>
    <s v="Não informado explicitamente"/>
    <s v="Não informado explicitamente"/>
    <x v="0"/>
    <s v="-"/>
    <s v="O autor não informa cargo. Pode ser PO ou desenvolvedor, mas não está claro."/>
    <s v="-"/>
    <s v="O autor não informa cargo. Pode ser PO ou desenvolvedor, mas não está claro."/>
    <s v="Problemas de priorização"/>
    <s v="Problemas de priorização"/>
    <s v="Problemas de priorização"/>
    <s v="Prioritization issues"/>
    <s v="Misalignment with goals and prioritization"/>
    <s v="Product &amp; Value Effects"/>
    <s v="user story comparison for prioritization"/>
    <s v="Providing these instead of benefits makes it easy to see why certain user story is more important than the other? So it helps prioritisation."/>
    <s v="&quot;Providing these instead of benefits makes it easy to see why certain user story is more important than the other? So it helps prioritisation.&quot;"/>
    <s v="OK"/>
    <m/>
    <m/>
    <s v="1. writing user stories for reliability, security, and capacity._x000a__x000a__x000a_2. using activity diagrams and PERT diagrams to analyze feature dependencies._x000a__x000a__x000a_3. narrative/project charter as starting place for identifying user stories._x000a__x000a__x000a_4. understanding context befo"/>
    <s v="1 - Write user stories for reliability, security, capacity or any other quality that is deemed important._x000a__x000a_2 - I watched the agile team here at work create activity diagrams (flow charts) of the business process. These diagrams were used to analyze the fe"/>
    <m/>
    <n v="8"/>
    <s v="1. Write user stories for reliability, security, capacity or any other quality that is deemed important. I believe that all non-trivial projects require documentation to supplement the user stories. I watched the agile team here at work create activity di"/>
    <s v="1 - Write user stories for reliability, security, capacity or any other quality that is deemed important._x000a__x000a_2 - I watched the agile team here at work create activity diagrams (flow charts) of the business process. These diagrams were used to analyze the fe"/>
  </r>
  <r>
    <n v="560"/>
    <s v="Software Quality Assurance &amp; Testing"/>
    <m/>
    <s v="https://sqa.stackexchange.com/questions/"/>
    <s v="Techniques to write good acceptance criteria for user stories"/>
    <s v="CA: Discussão apta para análise (discussão que aborda problemas com user stories)"/>
    <n v="2011"/>
    <n v="2011"/>
    <s v="Gainesville, Flórida"/>
    <s v="Critérios mal definidos"/>
    <s v="Definir criterios de aceitação"/>
    <s v="poorly defined criteria"/>
    <s v="poorly defined acceptance criteria"/>
    <s v="Poorly defined or missing acceptance criteria"/>
    <s v="User Story Issues"/>
    <s v="we struggle to define clear acceptance criteria while grooming/planning our user stories."/>
    <s v="&quot;In our team, we struggle to define clear acceptance criteria while grooming/planning our user stories.&quot;"/>
    <s v="OK"/>
    <s v="Scrum"/>
    <s v="Scrum"/>
    <s v="Scrum"/>
    <x v="2"/>
    <s v="developer in scrum master role"/>
    <s v="I am a developer in the scrum master"/>
    <s v="&quot;I am a developer in the scrum master role and need to get the whole team&quot;"/>
    <s v="OK"/>
    <s v="Sprint Planning "/>
    <s v="Planning"/>
    <s v="Planning"/>
    <x v="3"/>
    <s v="poorly defined acceptance criteria"/>
    <s v="while grooming/planning our user stories"/>
    <s v="&quot;In our team, we struggle to define clear acceptance criteria while grooming/planning our user stories.&quot;"/>
    <s v="OK"/>
    <s v="Scrum Master e desenvolvedor"/>
    <s v="Desenvolvedor (exercendo papel de SM)"/>
    <s v="Desenvolvedor (exercendo papel de SM)"/>
    <x v="3"/>
    <s v="developer in scrum master role"/>
    <s v="I am a developer in the scrum master"/>
    <s v="&quot;I am a developer in the scrum master role and need to get the whole team&quot;"/>
    <s v="OK"/>
    <s v="QA desalinhado"/>
    <s v="Confusão para os QAs"/>
    <s v="QA desalinhado"/>
    <s v="Misalignment in QA activities"/>
    <s v="Quality assurance and validation issues"/>
    <s v="Structural &amp; Quality Effects"/>
    <s v="Structural &amp; Quality Effects"/>
    <s v="This alienates our QA members as they don't really have complete understanding of what to test."/>
    <s v="&quot;This alienates our QA members as they don't really have complete understanding of what to test.&quot;"/>
    <s v="OK"/>
    <m/>
    <s v="2. Treat negative acceptance tests as user stories."/>
    <s v="1. steel thread concept for specific user story requirements._x000a__x000a_2. negative acceptance tests as separate user stories."/>
    <s v="1 - There is a concept of &quot;steel thread&quot; that we used back at one of my previous jobs where the user story itself is a specific requirement that has a very particular expectation. Anything outside of that particular expectation should be its own user stor"/>
    <m/>
    <n v="4"/>
    <s v="1.concept of &quot;steel thread&quot; that we used back at one of my previous jobs where the user story itself is a specific requirement that has a very particular expectation. Anything outside of that particular expectation should be its own user story. The accept"/>
    <s v="1 - There is a concept of &quot;steel thread&quot; that we used back at one of my previous jobs where the user story itself is a specific requirement that has a very particular expectation. Anything outside of that particular expectation should be its own user stor"/>
  </r>
  <r>
    <n v="8410"/>
    <s v="Project Management"/>
    <m/>
    <s v="https://pm.stackexchange.com/questions/"/>
    <s v="How should a team handle disagreements about story-point estimates in Scrum?"/>
    <s v="CA: Discussão apta para análise (discussão que aborda problemas com user stories)"/>
    <n v="2013"/>
    <n v="2013"/>
    <s v="Viena, Áustria"/>
    <s v="Conflito na estimativa"/>
    <s v="Conflito na estimativa"/>
    <s v="conflict in the estimate"/>
    <s v="lack of consensus on story-point estimates"/>
    <s v="Difficulties in estimating user stories"/>
    <s v="User Story related Issues"/>
    <s v="What should the Scrum Master do if the story is judged very differently by the team members, but they can't convince each other enough to agree on a story-point estimate?"/>
    <s v="&quot;What should the Scrum Master do if the story is judged very differently by the team members, but they can't convince each other enough to agree on a story-point estimate?&quot;"/>
    <s v="OK"/>
    <s v="Scrum"/>
    <s v="Scrum"/>
    <s v="Scrum"/>
    <x v="2"/>
    <s v="PO and Scrum Master roles during estimation"/>
    <s v="During estimation, the Product Owner presents a user story... [...]  What should the Scrum Master do..."/>
    <s v="&quot;How should a team handle disagreements about story-point estimates in Scrum?&quot;"/>
    <s v="?"/>
    <s v="Sprint Planning"/>
    <s v="Sprint planning (subentendido)"/>
    <s v="Sprint planning"/>
    <x v="2"/>
    <s v="high-risk user stories in Sprint Planning"/>
    <s v="Or accept this user story as &quot;high-risk&quot; with only a semi-commitment during Sprint Planning?"/>
    <s v="&quot;For example, let's say two opinions arise. Some see this as a rather easy story (e.g. 2 points) and others foresee technical complications and judge that the story should be 20 points. &quot;"/>
    <s v="Or accept this user story as &quot;high-risk&quot; with only a semi-commitment during Sprint Planning?"/>
    <s v="Não informado"/>
    <s v="Não informado"/>
    <s v="Não informado"/>
    <x v="0"/>
    <s v="-"/>
    <s v="What should the Scrum Master do in this case? "/>
    <s v="-"/>
    <s v="-"/>
    <s v="Risco de não comprometimento"/>
    <s v="Risco de nao comrpometimento"/>
    <s v="Risco de não comprometimento"/>
    <s v="Risk of lack of commitment"/>
    <s v="Sprint instability and planning issues"/>
    <s v="Process &amp; Workflow Effects"/>
    <s v="lack of commitment to underestimated user stories"/>
    <s v="I assume that if the issue is not clarified the 20-point faction will not commit to the user story if it is (in their eyes) under-estimated."/>
    <s v="&quot;I assume that if the issue is not clarified the 20-point faction will not commit to the user story if it is (in their eyes) under-estimated.&quot;"/>
    <s v="OK"/>
    <s v="1. Manage estimation uncertainty by removing outliers, decomposing disputed tasks, and adapting backlog dynamically                                                                                                                                            "/>
    <s v="1. Manage estimation uncertainty by removing outliers, decomposing disputed tasks, and adapting backlog dynamically                                                                                                                                            "/>
    <s v="1. discarding outliers, calculating mean, splitting contentious tasks, and remembering estimates are not promises._x000a__x000a_2. PO asking 20-point story to be broken down into 3-5 point pieces._x000a__x000a_3. planning poker to narrow cone of uncertainty and make risks visibl"/>
    <s v="1. (1) Discard outliers, then calculate the mean. This is usually my preferred method when a story has been properly decomposed._x000a_(2) Calculate the average, including any outliers. (3) Split out contentious tasks into separate-but-dependent stories that ca"/>
    <m/>
    <n v="9"/>
    <s v="1. (1) Discard outliers, then calculate the mean. This is usually my preferred method when a story has been properly decomposed._x000a_(2) Calculate the average, including any outliers. (3) Split out contentious tasks into separate-but-dependent stories that ca"/>
    <s v="1 - Much of Scrum's value to an organization is in creating transparency. 100% agreement isn't the real point of planning poker; the goal is actually to narrow the cone of uncertainty around feature estimates as much as possible, and to make the level of "/>
  </r>
  <r>
    <n v="27494"/>
    <s v="Project Management"/>
    <m/>
    <s v="https://pm.stackexchange.com/questions/"/>
    <s v="What to do for delayed stories between sprints"/>
    <s v="CA: Discussão apta para análise (discussão que aborda problemas com user stories)"/>
    <n v="2019"/>
    <n v="2019"/>
    <s v="Não consta"/>
    <s v="Histórias bloqueadas dependentes do cliente"/>
    <s v="Histórias não concluídas por falta de informações do cliente"/>
    <s v="stories that are not considered done because of missing information"/>
    <s v="stories that are not considered done because of missing information from the customer"/>
    <s v="Lack of clarity and completeness in user stories"/>
    <s v="User Story Issues"/>
    <s v="stories that are not considered done because of missing information from the customer. I am waiting on the customer for some answers.... the stories will be shifted to next sprint."/>
    <s v="&quot;I want to ask about stories that are not considered done because of missing information from the customer.&quot;"/>
    <s v="OK"/>
    <s v="Agile"/>
    <s v="Agile"/>
    <s v="Agile"/>
    <x v="0"/>
    <s v="I am new to Agile."/>
    <s v="I am new to Agile."/>
    <s v="&quot;As I am new to Agile.&quot;"/>
    <s v="OK"/>
    <s v="Sprint"/>
    <s v="Sprint"/>
    <s v="Sprint"/>
    <x v="0"/>
    <m/>
    <s v="I have a sprint with 60 user stories... at the end of the last 2 sprints"/>
    <s v="&quot;I have a sprint with 60 user stories and at the end of the last 2 sprints, I can say that almost all of them are &quot;done&quot; from a development point of view, but I am waiting on the customer for some answers.&quot;"/>
    <s v="OK"/>
    <s v="Scrum Master (subtendido)"/>
    <s v="Tech Lead"/>
    <s v="Não mencionado diretamente"/>
    <x v="0"/>
    <s v="-"/>
    <s v="as me as a leader...  I am new to Agile."/>
    <s v="&quot;me as a leader&quot;"/>
    <s v="OK"/>
    <s v="Risco de pressão futura"/>
    <s v="Pressão sobre a equipe e liderança no momento da conclusão das histórias"/>
    <s v="Risco de pressão futura"/>
    <s v="Risk of future pressure"/>
    <s v="Rework and future pressure"/>
    <s v="Human &amp; Social Effects"/>
    <s v="this can put my team, as well as me as a leader, under pressure."/>
    <s v="this can put my team, as well as me as a leader, under pressure."/>
    <s v="&quot;And this can put my team, as well as me as a leader, under pressure.&quot;"/>
    <s v="OK"/>
    <m/>
    <s v="1. Maintain progress by switching to unblocked work"/>
    <s v="1. work on something else_x000a_2. stay idle while they expect an answer_x000a_3. work on getting your customer more involved"/>
    <s v="1 - The first is to work on something else, something on which you are not blocked and don't need to wait for answers._x000a__x000a_2 - The second is for people to stay idle while they expect an answer. Basically the story is blocked and you just wait until you get t"/>
    <m/>
    <n v="30"/>
    <s v="1. When work in the sprint gets blocked, and you are not expecting answers quickly, you have two main options: The first is to work on something else, something on which you are not blocked. The second is for people to stay idle while they expect an answe"/>
    <s v="1 - The first is to work on something else, something on which you are not blocked and don't need to wait for answers._x000a__x000a_2 - The second is for people to stay idle while they expect an answer. Basically the story is blocked and you just wait until you get t"/>
  </r>
  <r>
    <n v="234758"/>
    <s v="Software Engineering"/>
    <m/>
    <s v="https://softwareengineering.stackexchange.com/questions/"/>
    <s v="The place of UI design when estimating and elaborating user stories"/>
    <s v="CA: Discussão apta para análise (discussão que aborda problemas com user stories)"/>
    <n v="2014"/>
    <n v="2014"/>
    <s v="Não consta"/>
    <s v="Estimativa sem UI definida"/>
    <s v="Incerteza técnica por ausência de definição visual"/>
    <m/>
    <s v="inaccurate estimation due to missing UI"/>
    <s v="UX/UI integration challenges around user stories"/>
    <s v="User Story related Issues"/>
    <s v="I can't estimate accurately enough at this stage of the process as some elements are missing i.e. UI."/>
    <s v="&quot;I can't estimate accurately enough at this stage of the process as some elements are missing i.e. UI.&quot;"/>
    <s v="OK"/>
    <s v="Agile"/>
    <s v="Agile"/>
    <s v="Agile"/>
    <x v="0"/>
    <s v="Applying agile methodology for estimating and prioritizing."/>
    <s v="Our company is trying to follow Agile methodologies when it comes to estimating and prioritizing any new development work"/>
    <s v="&quot;Our company is trying to follow Agile methodologies when it comes to estimating and prioritizing&quot;"/>
    <s v="OK"/>
    <s v="Sprint Planning (subtendido)"/>
    <s v="Fase de levantamento e estimativa inicial"/>
    <s v="Sprint Planning (subtendido)"/>
    <x v="2"/>
    <s v="estimates for sprint planning and project costing"/>
    <s v=" she needed estimates so she could plan the sprints and get a costing for the project."/>
    <s v="&quot;However the BA wasn't ready to discuss UI just yet as she needed estimates so she could plan the sprints&quot;"/>
    <s v="OK"/>
    <s v="Desenvolvedor (subtendido)"/>
    <s v="Liderança Técnica / Desenvolvedor (subtendido)"/>
    <s v="Desenvolvedor (subtendido)"/>
    <x v="1"/>
    <s v="software engineer understanding user's needs"/>
    <s v="I can't estimate accurately enough..."/>
    <s v="&quot;Our BA then asked us to estimate these stories. I went, hang on.&quot;"/>
    <s v="I can't estimate accurately enough..."/>
    <s v="Risco de estouro de escopo"/>
    <s v="Risco de subestimação e estouro de orçamento"/>
    <s v="Risco de subestimação e estouro de orçamento"/>
    <s v="Risk of underestimation and budget overrun"/>
    <s v="Estimation uncertainty and inaccuracy"/>
    <s v="Planning &amp; Estimation Effects"/>
    <s v="user story exceeding initial estimate"/>
    <s v="a story is bigger than you thought so blows out"/>
    <s v="&quot;a story is bigger than you thought so blows out&quot;"/>
    <s v="OK"/>
    <m/>
    <m/>
    <s v="1. doing UI design, coding, and testing in same sprint or splitting across sprints._x000a__x000a_2. design/UI stories in one sprint and coding in the next._x000a__x000a_3. estimates only need to be consistent over time, not necessarily accurate."/>
    <s v="1 - Some say that in an ideal world the team will do all of that in a sprint -- but only enough UI design for that sprint. Others are more pragmatic and say it can't be done, and will do design in one sprint and coding and testing in another, or design an"/>
    <m/>
    <n v="13"/>
    <s v="1. UI design is no different than architecture or coding or testing -- it's part of the scrum process. A common pattern is to do design work / UI stories in one sprint and code in the next. After all, if you don't know what the UI is like there's no way y"/>
    <s v="1 - Some say that in an ideal world the team will do all of that in a sprint -- but only enough UI design for that sprint. Others are more pragmatic and say it can't be done, and will do design in one sprint and coding and testing in another, or design an"/>
  </r>
  <r>
    <n v="315641"/>
    <s v="Software Engineering"/>
    <m/>
    <s v="Newest Questions - Software Engineering Stack Exchange"/>
    <s v="Dev and Tester separated team AND single sprint"/>
    <s v="CA: Discussão apta para análise (discussão que aborda problemas com user stories)"/>
    <n v="2016"/>
    <n v="2016"/>
    <s v="Não consta"/>
    <s v="Desbalanceamento de Trabalho"/>
    <s v="Sizing conflitante"/>
    <s v="Sizing conflitante"/>
    <s v="Sizing conflict between developers and testers"/>
    <s v="Difficulties in estimating user stories"/>
    <s v="User Story related Issues"/>
    <s v="we cannot make a sizing that make sense for both the devs and testers inside the same sprint."/>
    <s v="&quot;This leads us to an issue that when doing the sizing, we cannot make a sizing that make sense for both the devs and testers inside the same sprint.&quot;"/>
    <s v="OK"/>
    <s v="Scrum"/>
    <s v="Scrum"/>
    <s v="Scrum"/>
    <x v="2"/>
    <s v="Jira as Scrum tool"/>
    <s v="we are using Jira for Scrum."/>
    <s v="&quot;we are using Jira for Scrum.&quot;"/>
    <s v="OK"/>
    <s v="Sprint Planning / Sprint"/>
    <s v="Sprint planning"/>
    <s v="Sprint planning"/>
    <x v="2"/>
    <s v="Unequal distribution of workload in sprint planning."/>
    <s v="when planning the sprint there is a high chance that one side with have 75% of the workload "/>
    <s v="&quot;If we add up the sizing, when planning the sprint there is a high chance that one side with have 75% of the workload and the other almost nothing to do.&quot;"/>
    <s v="OK"/>
    <s v="Desenvolvedor (subtendido)"/>
    <s v="Não mencionado"/>
    <s v="Não mencionado"/>
    <x v="0"/>
    <s v="-"/>
    <s v="So far we sized the dev work and end up with a huge backlog of untested user stories (which can bite us if test are failing)"/>
    <s v="-"/>
    <s v="-"/>
    <s v="Tempo ocioso / acúmulo"/>
    <s v="Grande backlog de us nao testadas"/>
    <s v="Tempo ocioso / acúmulo"/>
    <s v="Idle time / work accumulation"/>
    <s v="Workflow disruption and delivery blockage"/>
    <s v="Process &amp; Workflow Effects"/>
    <s v="unbalanced workload distribution between team sides in sprint"/>
    <s v="one side with have 75% of the workload and the other almost nothing to do. And if we size for only one of the side, we ensure that one side will have the right amount for the sprint but the other side might not. "/>
    <s v="&quot;we sized the dev work and end up with a huge backlog of untested user stories&quot;"/>
    <s v="one side with have 75% of the workload and the other almost nothing to do. And if we size for only one of the side, we ensure that one side will have the right amount for the sprint but the other side might not. "/>
    <s v="1. Dev and testing overlap challenges story completion within a sprint.                                                                                                                                                                                        "/>
    <s v="1. Dev and testing overlap challenges story completion within a sprint.                                                                                                                                                                                        "/>
    <s v="1. It is impossible for testers and devs to work on the same story in the same sprint if they are committed to finishing the story. If you must do it then you will have to break a rule. Have the testers work on v2 of the story, have the devs commit to tec"/>
    <s v="1. It is impossible for testers and devs to work on the same story in the same sprint if they are committed to finishing the story. If you must do it then you will have to break a rule. Have the testers work on v2 of the story, have the devs commit to tec"/>
    <m/>
    <n v="20"/>
    <s v="1. It is impossible for testers and devs to work on the same story in the same sprint if they are committed to finishing the story. If you must do it then you will have to break a rule. Have the testers work on v2 of the story, have the devs commit to tec"/>
    <s v="1 - If The story is fully specced the dev should be able to complete the work in half a sprint. The tester has no work to do as the dev will test thier code against the spec before delivery._x000a__x000a_2 - It is impossible for testers and devs to work on the same 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Análise RQ1 Metodolgia" cacheId="25" applyNumberFormats="0" applyBorderFormats="0" applyFontFormats="0" applyPatternFormats="0" applyAlignmentFormats="0" applyWidthHeightFormats="0" dataCaption="" updatedVersion="8" compact="0" compactData="0">
  <location ref="A1:C9" firstHeaderRow="1" firstDataRow="2" firstDataCol="1"/>
  <pivotFields count="60">
    <pivotField name="ID" compact="0" outline="0" multipleItemSelectionAllowed="1" showAll="0"/>
    <pivotField name="Fórum" compact="0" outline="0" multipleItemSelectionAllowed="1" showAll="0"/>
    <pivotField name="ID Site" compact="0" outline="0" multipleItemSelectionAllowed="1" showAll="0"/>
    <pivotField name="Site" compact="0" outline="0" multipleItemSelectionAllowed="1" showAll="0"/>
    <pivotField name="Título" compact="0" outline="0" multipleItemSelectionAllowed="1" showAll="0"/>
    <pivotField name="Critério" compact="0" outline="0" multipleItemSelectionAllowed="1" showAll="0"/>
    <pivotField name="Ano" compact="0" outline="0" multipleItemSelectionAllowed="1" showAll="0"/>
    <pivotField name="Última resposta com score &gt; 0" compact="0" outline="0" multipleItemSelectionAllowed="1" showAll="0"/>
    <pivotField name="Nacionalidade" compact="0" outline="0" multipleItemSelectionAllowed="1" showAll="0"/>
    <pivotField name="Problema (Pergunta)_x000a_Nicole" compact="0" outline="0" multipleItemSelectionAllowed="1" showAll="0"/>
    <pivotField name="Problema (Pergunta)_x000a_Yuri" compact="0" outline="0" multipleItemSelectionAllowed="1" showAll="0"/>
    <pivotField name="Problema (Pergunta)_x000a_Consenso" compact="0" outline="0" multipleItemSelectionAllowed="1" showAll="0"/>
    <pivotField name="Problema - Código" compact="0" outline="0" multipleItemSelectionAllowed="1" showAll="0"/>
    <pivotField name="-&gt;Problema código final" compact="0" outline="0" multipleItemSelectionAllowed="1" showAll="0"/>
    <pivotField name="-&gt;Tipo de Problema" compact="0" outline="0" multipleItemSelectionAllowed="1" showAll="0"/>
    <pivotField name="Trecho - Problema_x000a_Nicole" compact="0" outline="0" multipleItemSelectionAllowed="1" showAll="0"/>
    <pivotField name="Trecho - Problema_x000a_Yuri" compact="0" outline="0" multipleItemSelectionAllowed="1" showAll="0"/>
    <pivotField name="Trecho - Problema_x000a_Consenso" compact="0" outline="0" multipleItemSelectionAllowed="1" showAll="0"/>
    <pivotField name="Metodologia Ágil (Pergunta)_x000a_Nicole" compact="0" outline="0" multipleItemSelectionAllowed="1" showAll="0"/>
    <pivotField name="Metodologia Ágil (Pergunta)_x000a_Yuri" compact="0" outline="0" multipleItemSelectionAllowed="1" showAll="0"/>
    <pivotField name="Metodologia_x000a_Consenso" compact="0" outline="0" multipleItemSelectionAllowed="1" showAll="0"/>
    <pivotField name="-&gt; Metodologia código final" axis="axisRow" dataField="1" compact="0" outline="0" multipleItemSelectionAllowed="1" showAll="0" sortType="descending">
      <items count="7">
        <item x="0"/>
        <item x="1"/>
        <item x="2"/>
        <item x="3"/>
        <item x="4"/>
        <item x="5"/>
        <item t="default"/>
      </items>
      <autoSortScope>
        <pivotArea>
          <references count="1">
            <reference field="4294967294" count="1">
              <x v="0"/>
            </reference>
          </references>
        </pivotArea>
      </autoSortScope>
    </pivotField>
    <pivotField name="Metodologia - Código Final" compact="0" outline="0" multipleItemSelectionAllowed="1" showAll="0"/>
    <pivotField name="Trecho - Metodologia Ágil_x000a_Nicole" compact="0" outline="0" multipleItemSelectionAllowed="1" showAll="0"/>
    <pivotField name="Trecho - Metodologia Ágil_x000a_Yuri" compact="0" outline="0" multipleItemSelectionAllowed="1" showAll="0"/>
    <pivotField name="Trecho - Metodologia Ágil_x000a_Consenso" compact="0" outline="0" multipleItemSelectionAllowed="1" showAll="0"/>
    <pivotField name="Cerimônia (Pergunta)_x000a_Nicole" compact="0" outline="0" multipleItemSelectionAllowed="1" showAll="0"/>
    <pivotField name="Cerimônia (Pergunta)_x000a_Yuri" compact="0" outline="0" multipleItemSelectionAllowed="1" showAll="0"/>
    <pivotField name="Cerimônia (Pergunta)_x000a_Consenso" compact="0" outline="0" multipleItemSelectionAllowed="1" showAll="0"/>
    <pivotField name="-&gt; Cerimônia Código Final" compact="0" outline="0" multipleItemSelectionAllowed="1" showAll="0"/>
    <pivotField name="Cerimônia - Código Final" compact="0" outline="0" multipleItemSelectionAllowed="1" showAll="0"/>
    <pivotField name="Trecho - Cerimônia_x000a_Nicole" compact="0" outline="0" multipleItemSelectionAllowed="1" showAll="0"/>
    <pivotField name="Trecho - Cerimônia_x000a_Yuri" compact="0" outline="0" multipleItemSelectionAllowed="1" showAll="0"/>
    <pivotField name="Trecho - Cerimônia_x000a_Consenso" compact="0" outline="0" multipleItemSelectionAllowed="1" showAll="0"/>
    <pivotField name="Papel (Pergunta)_x000a_Nicole" compact="0" outline="0" multipleItemSelectionAllowed="1" showAll="0"/>
    <pivotField name="Papel (Pergunta)_x000a_Yuri" compact="0" outline="0" multipleItemSelectionAllowed="1" showAll="0"/>
    <pivotField name="Papel (Pergunta)_x000a_Consenso" compact="0" outline="0" multipleItemSelectionAllowed="1" showAll="0"/>
    <pivotField name="-&gt; Papel Código Final" compact="0" outline="0" multipleItemSelectionAllowed="1" showAll="0"/>
    <pivotField name="Papel - Código Final" compact="0" outline="0" multipleItemSelectionAllowed="1" showAll="0"/>
    <pivotField name="Trecho - Papel_x000a_Nicole" compact="0" outline="0" multipleItemSelectionAllowed="1" showAll="0"/>
    <pivotField name="Trecho - Papel_x000a_Yuri" compact="0" outline="0" multipleItemSelectionAllowed="1" showAll="0"/>
    <pivotField name="Trecho - Papel_x000a_Consenso" compact="0" outline="0" multipleItemSelectionAllowed="1" showAll="0"/>
    <pivotField name="Efeito (Pergunta)_x000a_Nicole" compact="0" outline="0" multipleItemSelectionAllowed="1" showAll="0"/>
    <pivotField name="Efeito (Pergunta)_x000a_Yuri" compact="0" outline="0" multipleItemSelectionAllowed="1" showAll="0"/>
    <pivotField name="Efeito (Pergunta)_x000a_Consenso" compact="0" outline="0" multipleItemSelectionAllowed="1" showAll="0"/>
    <pivotField name="Efeito (Pergunta)_x000a_Consenso -em inglês" compact="0" outline="0" multipleItemSelectionAllowed="1" showAll="0"/>
    <pivotField name="-&gt; Efeito Código Final" compact="0" outline="0" multipleItemSelectionAllowed="1" showAll="0"/>
    <pivotField name="-&gt; Efeito: Categorias" compact="0" outline="0" multipleItemSelectionAllowed="1" showAll="0"/>
    <pivotField name="Efeito - Código Final" compact="0" outline="0" multipleItemSelectionAllowed="1" showAll="0"/>
    <pivotField name="Trecho - Efeito_x000a_Nicole" compact="0" outline="0" multipleItemSelectionAllowed="1" showAll="0"/>
    <pivotField name="Trecho - Efeito_x000a_Yuri" compact="0" outline="0" multipleItemSelectionAllowed="1" showAll="0"/>
    <pivotField name="Trecho - Efeito_x000a_Consenso" compact="0" outline="0" multipleItemSelectionAllowed="1" showAll="0"/>
    <pivotField name="-&gt; Possíveis Soluções - Código Final" compact="0" outline="0" multipleItemSelectionAllowed="1" showAll="0"/>
    <pivotField name="Possíveis Soluções (Respostas)" compact="0" outline="0" multipleItemSelectionAllowed="1" showAll="0"/>
    <pivotField name="Possíveis Soluções - Código Final" compact="0" outline="0" multipleItemSelectionAllowed="1" showAll="0"/>
    <pivotField name="Possíveis soluções - Consenso" compact="0" outline="0" multipleItemSelectionAllowed="1" showAll="0"/>
    <pivotField name="Trecho - Possíveis Soluções" compact="0" outline="0" multipleItemSelectionAllowed="1" showAll="0"/>
    <pivotField name=" " compact="0" outline="0" multipleItemSelectionAllowed="1" showAll="0"/>
    <pivotField name="Trecho Possíveis soluções - Nicole" compact="0" outline="0" multipleItemSelectionAllowed="1" showAll="0"/>
    <pivotField name="Trecho Possíveis soluções - Yuri" compact="0" outline="0" multipleItemSelectionAllowed="1" showAll="0"/>
  </pivotFields>
  <rowFields count="1">
    <field x="21"/>
  </rowFields>
  <rowItems count="7">
    <i>
      <x v="2"/>
    </i>
    <i>
      <x/>
    </i>
    <i>
      <x v="1"/>
    </i>
    <i>
      <x v="4"/>
    </i>
    <i>
      <x v="5"/>
    </i>
    <i>
      <x v="3"/>
    </i>
    <i t="grand">
      <x/>
    </i>
  </rowItems>
  <colFields count="1">
    <field x="-2"/>
  </colFields>
  <colItems count="2">
    <i>
      <x/>
    </i>
    <i i="1">
      <x v="1"/>
    </i>
  </colItems>
  <dataFields count="2">
    <dataField name="COUNTA of -&gt; Metodologia código final" fld="21" subtotal="count" baseField="0"/>
    <dataField name="COUNTA of -&gt; Metodologia código final" fld="21"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Análise RQ1 Cerimônias" cacheId="25" applyNumberFormats="0" applyBorderFormats="0" applyFontFormats="0" applyPatternFormats="0" applyAlignmentFormats="0" applyWidthHeightFormats="0" dataCaption="" updatedVersion="8" compact="0" compactData="0">
  <location ref="A1:C9" firstHeaderRow="1" firstDataRow="2" firstDataCol="1"/>
  <pivotFields count="60">
    <pivotField name="ID" compact="0" outline="0" multipleItemSelectionAllowed="1" showAll="0"/>
    <pivotField name="Fórum" compact="0" outline="0" multipleItemSelectionAllowed="1" showAll="0"/>
    <pivotField name="ID Site" compact="0" outline="0" multipleItemSelectionAllowed="1" showAll="0"/>
    <pivotField name="Site" compact="0" outline="0" multipleItemSelectionAllowed="1" showAll="0"/>
    <pivotField name="Título" compact="0" outline="0" multipleItemSelectionAllowed="1" showAll="0"/>
    <pivotField name="Critério" compact="0" outline="0" multipleItemSelectionAllowed="1" showAll="0"/>
    <pivotField name="Ano" compact="0" outline="0" multipleItemSelectionAllowed="1" showAll="0"/>
    <pivotField name="Última resposta com score &gt; 0" compact="0" outline="0" multipleItemSelectionAllowed="1" showAll="0"/>
    <pivotField name="Nacionalidade" compact="0" outline="0" multipleItemSelectionAllowed="1" showAll="0"/>
    <pivotField name="Problema (Pergunta)_x000a_Nicole" compact="0" outline="0" multipleItemSelectionAllowed="1" showAll="0"/>
    <pivotField name="Problema (Pergunta)_x000a_Yuri" compact="0" outline="0" multipleItemSelectionAllowed="1" showAll="0"/>
    <pivotField name="Problema (Pergunta)_x000a_Consenso" compact="0" outline="0" multipleItemSelectionAllowed="1" showAll="0"/>
    <pivotField name="Problema - Código" compact="0" outline="0" multipleItemSelectionAllowed="1" showAll="0"/>
    <pivotField name="-&gt;Problema código final" compact="0" outline="0" multipleItemSelectionAllowed="1" showAll="0"/>
    <pivotField name="-&gt;Tipo de Problema" compact="0" outline="0" multipleItemSelectionAllowed="1" showAll="0"/>
    <pivotField name="Trecho - Problema_x000a_Nicole" compact="0" outline="0" multipleItemSelectionAllowed="1" showAll="0"/>
    <pivotField name="Trecho - Problema_x000a_Yuri" compact="0" outline="0" multipleItemSelectionAllowed="1" showAll="0"/>
    <pivotField name="Trecho - Problema_x000a_Consenso" compact="0" outline="0" multipleItemSelectionAllowed="1" showAll="0"/>
    <pivotField name="Metodologia Ágil (Pergunta)_x000a_Nicole" compact="0" outline="0" multipleItemSelectionAllowed="1" showAll="0"/>
    <pivotField name="Metodologia Ágil (Pergunta)_x000a_Yuri" compact="0" outline="0" multipleItemSelectionAllowed="1" showAll="0"/>
    <pivotField name="Metodologia_x000a_Consenso" compact="0" outline="0" multipleItemSelectionAllowed="1" showAll="0"/>
    <pivotField name="-&gt; Metodologia código final" compact="0" outline="0" multipleItemSelectionAllowed="1" showAll="0"/>
    <pivotField name="Metodologia - Código Final" compact="0" outline="0" multipleItemSelectionAllowed="1" showAll="0"/>
    <pivotField name="Trecho - Metodologia Ágil_x000a_Nicole" compact="0" outline="0" multipleItemSelectionAllowed="1" showAll="0"/>
    <pivotField name="Trecho - Metodologia Ágil_x000a_Yuri" compact="0" outline="0" multipleItemSelectionAllowed="1" showAll="0"/>
    <pivotField name="Trecho - Metodologia Ágil_x000a_Consenso" compact="0" outline="0" multipleItemSelectionAllowed="1" showAll="0"/>
    <pivotField name="Cerimônia (Pergunta)_x000a_Nicole" compact="0" outline="0" multipleItemSelectionAllowed="1" showAll="0"/>
    <pivotField name="Cerimônia (Pergunta)_x000a_Yuri" compact="0" outline="0" multipleItemSelectionAllowed="1" showAll="0"/>
    <pivotField name="Cerimônia (Pergunta)_x000a_Consenso" compact="0" outline="0" multipleItemSelectionAllowed="1" showAll="0"/>
    <pivotField name="-&gt; Cerimônia Código Final" axis="axisRow" dataField="1" compact="0" outline="0" multipleItemSelectionAllowed="1" showAll="0" sortType="ascending">
      <items count="7">
        <item x="4"/>
        <item x="1"/>
        <item x="3"/>
        <item x="5"/>
        <item x="0"/>
        <item x="2"/>
        <item t="default"/>
      </items>
    </pivotField>
    <pivotField name="Cerimônia - Código Final" compact="0" outline="0" multipleItemSelectionAllowed="1" showAll="0"/>
    <pivotField name="Trecho - Cerimônia_x000a_Nicole" compact="0" outline="0" multipleItemSelectionAllowed="1" showAll="0"/>
    <pivotField name="Trecho - Cerimônia_x000a_Yuri" compact="0" outline="0" multipleItemSelectionAllowed="1" showAll="0"/>
    <pivotField name="Trecho - Cerimônia_x000a_Consenso" compact="0" outline="0" multipleItemSelectionAllowed="1" showAll="0"/>
    <pivotField name="Papel (Pergunta)_x000a_Nicole" compact="0" outline="0" multipleItemSelectionAllowed="1" showAll="0"/>
    <pivotField name="Papel (Pergunta)_x000a_Yuri" compact="0" outline="0" multipleItemSelectionAllowed="1" showAll="0"/>
    <pivotField name="Papel (Pergunta)_x000a_Consenso" compact="0" outline="0" multipleItemSelectionAllowed="1" showAll="0"/>
    <pivotField name="-&gt; Papel Código Final" compact="0" outline="0" multipleItemSelectionAllowed="1" showAll="0"/>
    <pivotField name="Papel - Código Final" compact="0" outline="0" multipleItemSelectionAllowed="1" showAll="0"/>
    <pivotField name="Trecho - Papel_x000a_Nicole" compact="0" outline="0" multipleItemSelectionAllowed="1" showAll="0"/>
    <pivotField name="Trecho - Papel_x000a_Yuri" compact="0" outline="0" multipleItemSelectionAllowed="1" showAll="0"/>
    <pivotField name="Trecho - Papel_x000a_Consenso" compact="0" outline="0" multipleItemSelectionAllowed="1" showAll="0"/>
    <pivotField name="Efeito (Pergunta)_x000a_Nicole" compact="0" outline="0" multipleItemSelectionAllowed="1" showAll="0"/>
    <pivotField name="Efeito (Pergunta)_x000a_Yuri" compact="0" outline="0" multipleItemSelectionAllowed="1" showAll="0"/>
    <pivotField name="Efeito (Pergunta)_x000a_Consenso" compact="0" outline="0" multipleItemSelectionAllowed="1" showAll="0"/>
    <pivotField name="Efeito (Pergunta)_x000a_Consenso -em inglês" compact="0" outline="0" multipleItemSelectionAllowed="1" showAll="0"/>
    <pivotField name="-&gt; Efeito Código Final" compact="0" outline="0" multipleItemSelectionAllowed="1" showAll="0"/>
    <pivotField name="-&gt; Efeito: Categorias" compact="0" outline="0" multipleItemSelectionAllowed="1" showAll="0"/>
    <pivotField name="Efeito - Código Final" compact="0" outline="0" multipleItemSelectionAllowed="1" showAll="0"/>
    <pivotField name="Trecho - Efeito_x000a_Nicole" compact="0" outline="0" multipleItemSelectionAllowed="1" showAll="0"/>
    <pivotField name="Trecho - Efeito_x000a_Yuri" compact="0" outline="0" multipleItemSelectionAllowed="1" showAll="0"/>
    <pivotField name="Trecho - Efeito_x000a_Consenso" compact="0" outline="0" multipleItemSelectionAllowed="1" showAll="0"/>
    <pivotField name="-&gt; Possíveis Soluções - Código Final" compact="0" outline="0" multipleItemSelectionAllowed="1" showAll="0"/>
    <pivotField name="Possíveis Soluções (Respostas)" compact="0" outline="0" multipleItemSelectionAllowed="1" showAll="0"/>
    <pivotField name="Possíveis Soluções - Código Final" compact="0" outline="0" multipleItemSelectionAllowed="1" showAll="0"/>
    <pivotField name="Possíveis soluções - Consenso" compact="0" outline="0" multipleItemSelectionAllowed="1" showAll="0"/>
    <pivotField name="Trecho - Possíveis Soluções" compact="0" outline="0" multipleItemSelectionAllowed="1" showAll="0"/>
    <pivotField name=" " compact="0" outline="0" multipleItemSelectionAllowed="1" showAll="0"/>
    <pivotField name="Trecho Possíveis soluções - Nicole" compact="0" outline="0" multipleItemSelectionAllowed="1" showAll="0"/>
    <pivotField name="Trecho Possíveis soluções - Yuri" compact="0" outline="0" multipleItemSelectionAllowed="1" showAll="0"/>
  </pivotFields>
  <rowFields count="1">
    <field x="29"/>
  </rowFields>
  <rowItems count="7">
    <i>
      <x/>
    </i>
    <i>
      <x v="1"/>
    </i>
    <i>
      <x v="2"/>
    </i>
    <i>
      <x v="3"/>
    </i>
    <i>
      <x v="4"/>
    </i>
    <i>
      <x v="5"/>
    </i>
    <i t="grand">
      <x/>
    </i>
  </rowItems>
  <colFields count="1">
    <field x="-2"/>
  </colFields>
  <colItems count="2">
    <i>
      <x/>
    </i>
    <i i="1">
      <x v="1"/>
    </i>
  </colItems>
  <dataFields count="2">
    <dataField name="COUNTA of -&gt; Cerimônia Código Final" fld="29" subtotal="count" baseField="0"/>
    <dataField name="COUNTA of -&gt; Cerimônia Código Final" fld="29"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D00-000002000000}" name="Análise RQ1 Papel" cacheId="25" applyNumberFormats="0" applyBorderFormats="0" applyFontFormats="0" applyPatternFormats="0" applyAlignmentFormats="0" applyWidthHeightFormats="0" dataCaption="" updatedVersion="8" compact="0" compactData="0">
  <location ref="A1:C7" firstHeaderRow="1" firstDataRow="2" firstDataCol="1"/>
  <pivotFields count="60">
    <pivotField name="ID" compact="0" outline="0" multipleItemSelectionAllowed="1" showAll="0"/>
    <pivotField name="Fórum" compact="0" outline="0" multipleItemSelectionAllowed="1" showAll="0"/>
    <pivotField name="ID Site" compact="0" outline="0" multipleItemSelectionAllowed="1" showAll="0"/>
    <pivotField name="Site" compact="0" outline="0" multipleItemSelectionAllowed="1" showAll="0"/>
    <pivotField name="Título" compact="0" outline="0" multipleItemSelectionAllowed="1" showAll="0"/>
    <pivotField name="Critério" compact="0" outline="0" multipleItemSelectionAllowed="1" showAll="0"/>
    <pivotField name="Ano" compact="0" outline="0" multipleItemSelectionAllowed="1" showAll="0"/>
    <pivotField name="Última resposta com score &gt; 0" compact="0" outline="0" multipleItemSelectionAllowed="1" showAll="0"/>
    <pivotField name="Nacionalidade" compact="0" outline="0" multipleItemSelectionAllowed="1" showAll="0"/>
    <pivotField name="Problema (Pergunta)_x000a_Nicole" compact="0" outline="0" multipleItemSelectionAllowed="1" showAll="0"/>
    <pivotField name="Problema (Pergunta)_x000a_Yuri" compact="0" outline="0" multipleItemSelectionAllowed="1" showAll="0"/>
    <pivotField name="Problema (Pergunta)_x000a_Consenso" compact="0" outline="0" multipleItemSelectionAllowed="1" showAll="0"/>
    <pivotField name="Problema - Código" compact="0" outline="0" multipleItemSelectionAllowed="1" showAll="0"/>
    <pivotField name="-&gt;Problema código final" compact="0" outline="0" multipleItemSelectionAllowed="1" showAll="0"/>
    <pivotField name="-&gt;Tipo de Problema" compact="0" outline="0" multipleItemSelectionAllowed="1" showAll="0"/>
    <pivotField name="Trecho - Problema_x000a_Nicole" compact="0" outline="0" multipleItemSelectionAllowed="1" showAll="0"/>
    <pivotField name="Trecho - Problema_x000a_Yuri" compact="0" outline="0" multipleItemSelectionAllowed="1" showAll="0"/>
    <pivotField name="Trecho - Problema_x000a_Consenso" compact="0" outline="0" multipleItemSelectionAllowed="1" showAll="0"/>
    <pivotField name="Metodologia Ágil (Pergunta)_x000a_Nicole" compact="0" outline="0" multipleItemSelectionAllowed="1" showAll="0"/>
    <pivotField name="Metodologia Ágil (Pergunta)_x000a_Yuri" compact="0" outline="0" multipleItemSelectionAllowed="1" showAll="0"/>
    <pivotField name="Metodologia_x000a_Consenso" compact="0" outline="0" multipleItemSelectionAllowed="1" showAll="0"/>
    <pivotField name="-&gt; Metodologia código final" compact="0" outline="0" multipleItemSelectionAllowed="1" showAll="0"/>
    <pivotField name="Metodologia - Código Final" compact="0" outline="0" multipleItemSelectionAllowed="1" showAll="0"/>
    <pivotField name="Trecho - Metodologia Ágil_x000a_Nicole" compact="0" outline="0" multipleItemSelectionAllowed="1" showAll="0"/>
    <pivotField name="Trecho - Metodologia Ágil_x000a_Yuri" compact="0" outline="0" multipleItemSelectionAllowed="1" showAll="0"/>
    <pivotField name="Trecho - Metodologia Ágil_x000a_Consenso" compact="0" outline="0" multipleItemSelectionAllowed="1" showAll="0"/>
    <pivotField name="Cerimônia (Pergunta)_x000a_Nicole" compact="0" outline="0" multipleItemSelectionAllowed="1" showAll="0"/>
    <pivotField name="Cerimônia (Pergunta)_x000a_Yuri" compact="0" outline="0" multipleItemSelectionAllowed="1" showAll="0"/>
    <pivotField name="Cerimônia (Pergunta)_x000a_Consenso" compact="0" outline="0" multipleItemSelectionAllowed="1" showAll="0"/>
    <pivotField name="-&gt; Cerimônia Código Final" compact="0" outline="0" multipleItemSelectionAllowed="1" showAll="0"/>
    <pivotField name="Cerimônia - Código Final" compact="0" outline="0" multipleItemSelectionAllowed="1" showAll="0"/>
    <pivotField name="Trecho - Cerimônia_x000a_Nicole" compact="0" outline="0" multipleItemSelectionAllowed="1" showAll="0"/>
    <pivotField name="Trecho - Cerimônia_x000a_Yuri" compact="0" outline="0" multipleItemSelectionAllowed="1" showAll="0"/>
    <pivotField name="Trecho - Cerimônia_x000a_Consenso" compact="0" outline="0" multipleItemSelectionAllowed="1" showAll="0"/>
    <pivotField name="Papel (Pergunta)_x000a_Nicole" compact="0" outline="0" multipleItemSelectionAllowed="1" showAll="0"/>
    <pivotField name="Papel (Pergunta)_x000a_Yuri" compact="0" outline="0" multipleItemSelectionAllowed="1" showAll="0"/>
    <pivotField name="Papel (Pergunta)_x000a_Consenso" compact="0" outline="0" multipleItemSelectionAllowed="1" showAll="0"/>
    <pivotField name="-&gt; Papel Código Final" axis="axisRow" dataField="1" compact="0" outline="0" multipleItemSelectionAllowed="1" showAll="0" sortType="ascending">
      <items count="5">
        <item x="0"/>
        <item x="2"/>
        <item x="3"/>
        <item x="1"/>
        <item t="default"/>
      </items>
    </pivotField>
    <pivotField name="Papel - Código Final" compact="0" outline="0" multipleItemSelectionAllowed="1" showAll="0"/>
    <pivotField name="Trecho - Papel_x000a_Nicole" compact="0" outline="0" multipleItemSelectionAllowed="1" showAll="0"/>
    <pivotField name="Trecho - Papel_x000a_Yuri" compact="0" outline="0" multipleItemSelectionAllowed="1" showAll="0"/>
    <pivotField name="Trecho - Papel_x000a_Consenso" compact="0" outline="0" multipleItemSelectionAllowed="1" showAll="0"/>
    <pivotField name="Efeito (Pergunta)_x000a_Nicole" compact="0" outline="0" multipleItemSelectionAllowed="1" showAll="0"/>
    <pivotField name="Efeito (Pergunta)_x000a_Yuri" compact="0" outline="0" multipleItemSelectionAllowed="1" showAll="0"/>
    <pivotField name="Efeito (Pergunta)_x000a_Consenso" compact="0" outline="0" multipleItemSelectionAllowed="1" showAll="0"/>
    <pivotField name="Efeito (Pergunta)_x000a_Consenso -em inglês" compact="0" outline="0" multipleItemSelectionAllowed="1" showAll="0"/>
    <pivotField name="-&gt; Efeito Código Final" compact="0" outline="0" multipleItemSelectionAllowed="1" showAll="0"/>
    <pivotField name="-&gt; Efeito: Categorias" compact="0" outline="0" multipleItemSelectionAllowed="1" showAll="0"/>
    <pivotField name="Efeito - Código Final" compact="0" outline="0" multipleItemSelectionAllowed="1" showAll="0"/>
    <pivotField name="Trecho - Efeito_x000a_Nicole" compact="0" outline="0" multipleItemSelectionAllowed="1" showAll="0"/>
    <pivotField name="Trecho - Efeito_x000a_Yuri" compact="0" outline="0" multipleItemSelectionAllowed="1" showAll="0"/>
    <pivotField name="Trecho - Efeito_x000a_Consenso" compact="0" outline="0" multipleItemSelectionAllowed="1" showAll="0"/>
    <pivotField name="-&gt; Possíveis Soluções - Código Final" compact="0" outline="0" multipleItemSelectionAllowed="1" showAll="0"/>
    <pivotField name="Possíveis Soluções (Respostas)" compact="0" outline="0" multipleItemSelectionAllowed="1" showAll="0"/>
    <pivotField name="Possíveis Soluções - Código Final" compact="0" outline="0" multipleItemSelectionAllowed="1" showAll="0"/>
    <pivotField name="Possíveis soluções - Consenso" compact="0" outline="0" multipleItemSelectionAllowed="1" showAll="0"/>
    <pivotField name="Trecho - Possíveis Soluções" compact="0" outline="0" multipleItemSelectionAllowed="1" showAll="0"/>
    <pivotField name=" " compact="0" outline="0" multipleItemSelectionAllowed="1" showAll="0"/>
    <pivotField name="Trecho Possíveis soluções - Nicole" compact="0" outline="0" multipleItemSelectionAllowed="1" showAll="0"/>
    <pivotField name="Trecho Possíveis soluções - Yuri" compact="0" outline="0" multipleItemSelectionAllowed="1" showAll="0"/>
  </pivotFields>
  <rowFields count="1">
    <field x="37"/>
  </rowFields>
  <rowItems count="5">
    <i>
      <x/>
    </i>
    <i>
      <x v="1"/>
    </i>
    <i>
      <x v="2"/>
    </i>
    <i>
      <x v="3"/>
    </i>
    <i t="grand">
      <x/>
    </i>
  </rowItems>
  <colFields count="1">
    <field x="-2"/>
  </colFields>
  <colItems count="2">
    <i>
      <x/>
    </i>
    <i i="1">
      <x v="1"/>
    </i>
  </colItems>
  <dataFields count="2">
    <dataField name="COUNTA of -&gt; Papel Código Final" fld="37" subtotal="count" baseField="0"/>
    <dataField name="COUNTA of -&gt; Papel Código Final" fld="37"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Análise RQ1 Efeito" cacheId="19" applyNumberFormats="0" applyBorderFormats="0" applyFontFormats="0" applyPatternFormats="0" applyAlignmentFormats="0" applyWidthHeightFormats="0" dataCaption="" updatedVersion="8" compact="0" compactData="0">
  <location ref="A1:D13" firstHeaderRow="1" firstDataRow="2" firstDataCol="2"/>
  <pivotFields count="9">
    <pivotField name="ID" compact="0" outline="0" multipleItemSelectionAllowed="1" showAll="0"/>
    <pivotField name="-&gt;Problema código final" compact="0" outline="0" multipleItemSelectionAllowed="1" showAll="0"/>
    <pivotField name="-&gt;Tipo de Problema" compact="0" outline="0" multipleItemSelectionAllowed="1" showAll="0"/>
    <pivotField name="-&gt; Metodologia código final" compact="0" outline="0" multipleItemSelectionAllowed="1" showAll="0"/>
    <pivotField name="-&gt; Cerimônia Código Final" compact="0" outline="0" multipleItemSelectionAllowed="1" showAll="0"/>
    <pivotField name="-&gt; Papel Código Final" compact="0" outline="0" multipleItemSelectionAllowed="1" showAll="0"/>
    <pivotField name="-&gt; Efeito Código Final" axis="axisRow" dataField="1" compact="0" outline="0" multipleItemSelectionAllowed="1" showAll="0" sortType="ascending">
      <items count="11">
        <item x="8"/>
        <item x="1"/>
        <item x="3"/>
        <item x="4"/>
        <item x="7"/>
        <item x="9"/>
        <item x="6"/>
        <item x="5"/>
        <item x="0"/>
        <item x="2"/>
        <item t="default"/>
      </items>
    </pivotField>
    <pivotField name="-&gt; Efeito: Categorias" axis="axisRow" compact="0" outline="0" multipleItemSelectionAllowed="1" showAll="0" sortType="ascending" defaultSubtotal="0">
      <items count="6">
        <item x="5"/>
        <item x="3"/>
        <item x="2"/>
        <item x="1"/>
        <item x="4"/>
        <item x="0"/>
      </items>
    </pivotField>
    <pivotField name="-&gt; Possíveis Soluções - Código Final" compact="0" outline="0" multipleItemSelectionAllowed="1" showAll="0"/>
  </pivotFields>
  <rowFields count="2">
    <field x="7"/>
    <field x="6"/>
  </rowFields>
  <rowItems count="11">
    <i>
      <x/>
      <x/>
    </i>
    <i r="1">
      <x v="6"/>
    </i>
    <i>
      <x v="1"/>
      <x v="3"/>
    </i>
    <i>
      <x v="2"/>
      <x v="2"/>
    </i>
    <i>
      <x v="3"/>
      <x v="1"/>
    </i>
    <i r="1">
      <x v="9"/>
    </i>
    <i>
      <x v="4"/>
      <x v="4"/>
    </i>
    <i r="1">
      <x v="7"/>
    </i>
    <i>
      <x v="5"/>
      <x v="5"/>
    </i>
    <i r="1">
      <x v="8"/>
    </i>
    <i t="grand">
      <x/>
    </i>
  </rowItems>
  <colFields count="1">
    <field x="-2"/>
  </colFields>
  <colItems count="2">
    <i>
      <x/>
    </i>
    <i i="1">
      <x v="1"/>
    </i>
  </colItems>
  <dataFields count="2">
    <dataField name="COUNTA of -&gt; Efeito Código Final" fld="6" subtotal="count" baseField="0"/>
    <dataField name="COUNTA of -&gt; Efeito Código Final" fld="6"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F00-000004000000}" name="Análise RQ1 Efeito X tipo Probl" cacheId="14" applyNumberFormats="0" applyBorderFormats="0" applyFontFormats="0" applyPatternFormats="0" applyAlignmentFormats="0" applyWidthHeightFormats="0" dataCaption="" updatedVersion="8" compact="0" compactData="0">
  <location ref="A1:D24" firstHeaderRow="1" firstDataRow="2" firstDataCol="2"/>
  <pivotFields count="9">
    <pivotField name="ID" compact="0" outline="0" multipleItemSelectionAllowed="1" showAll="0"/>
    <pivotField name="-&gt;Problema código final" compact="0" outline="0" multipleItemSelectionAllowed="1" showAll="0"/>
    <pivotField name="-&gt;Tipo de Problema" axis="axisRow" compact="0" outline="0" multipleItemSelectionAllowed="1" showAll="0" sortType="ascending" defaultSubtotal="0">
      <items count="2">
        <item x="1"/>
        <item x="0"/>
      </items>
    </pivotField>
    <pivotField name="-&gt; Metodologia código final" compact="0" outline="0" multipleItemSelectionAllowed="1" showAll="0"/>
    <pivotField name="-&gt; Cerimônia Código Final" compact="0" outline="0" multipleItemSelectionAllowed="1" showAll="0"/>
    <pivotField name="-&gt; Papel Código Final" compact="0" outline="0" multipleItemSelectionAllowed="1" showAll="0"/>
    <pivotField name="-&gt; Efeito Código Final" axis="axisRow" dataField="1" compact="0" outline="0" multipleItemSelectionAllowed="1" showAll="0" sortType="ascending">
      <items count="14">
        <item x="8"/>
        <item x="1"/>
        <item x="3"/>
        <item x="11"/>
        <item x="12"/>
        <item x="4"/>
        <item x="7"/>
        <item x="9"/>
        <item x="6"/>
        <item x="5"/>
        <item x="0"/>
        <item x="10"/>
        <item x="2"/>
        <item t="default"/>
      </items>
    </pivotField>
    <pivotField name="-&gt; Efeito: Categorias" compact="0" outline="0" multipleItemSelectionAllowed="1" showAll="0"/>
    <pivotField name="-&gt; Possíveis Soluções - Código Final" compact="0" outline="0" multipleItemSelectionAllowed="1" showAll="0"/>
  </pivotFields>
  <rowFields count="2">
    <field x="2"/>
    <field x="6"/>
  </rowFields>
  <rowItems count="22">
    <i>
      <x/>
      <x/>
    </i>
    <i r="1">
      <x v="2"/>
    </i>
    <i r="1">
      <x v="3"/>
    </i>
    <i r="1">
      <x v="4"/>
    </i>
    <i r="1">
      <x v="5"/>
    </i>
    <i r="1">
      <x v="6"/>
    </i>
    <i r="1">
      <x v="7"/>
    </i>
    <i r="1">
      <x v="8"/>
    </i>
    <i r="1">
      <x v="9"/>
    </i>
    <i r="1">
      <x v="10"/>
    </i>
    <i r="1">
      <x v="12"/>
    </i>
    <i>
      <x v="1"/>
      <x/>
    </i>
    <i r="1">
      <x v="1"/>
    </i>
    <i r="1">
      <x v="2"/>
    </i>
    <i r="1">
      <x v="4"/>
    </i>
    <i r="1">
      <x v="5"/>
    </i>
    <i r="1">
      <x v="7"/>
    </i>
    <i r="1">
      <x v="9"/>
    </i>
    <i r="1">
      <x v="10"/>
    </i>
    <i r="1">
      <x v="11"/>
    </i>
    <i r="1">
      <x v="12"/>
    </i>
    <i t="grand">
      <x/>
    </i>
  </rowItems>
  <colFields count="1">
    <field x="-2"/>
  </colFields>
  <colItems count="2">
    <i>
      <x/>
    </i>
    <i i="1">
      <x v="1"/>
    </i>
  </colItems>
  <dataFields count="2">
    <dataField name="COUNTA of -&gt; Efeito Código Final" fld="6" subtotal="count" baseField="0"/>
    <dataField name="COUNTA of -&gt; Efeito Código Final" fld="6"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000-000005000000}" name="Cópia de Análise RQ1 Efeito X t" cacheId="14" applyNumberFormats="0" applyBorderFormats="0" applyFontFormats="0" applyPatternFormats="0" applyAlignmentFormats="0" applyWidthHeightFormats="0" dataCaption="" updatedVersion="8" compact="0" compactData="0">
  <location ref="A1:D20" firstHeaderRow="1" firstDataRow="2" firstDataCol="2"/>
  <pivotFields count="9">
    <pivotField name="ID" compact="0" outline="0" multipleItemSelectionAllowed="1" showAll="0"/>
    <pivotField name="-&gt;Problema código final" axis="axisRow" compact="0" outline="0" multipleItemSelectionAllowed="1" showAll="0" sortType="ascending" defaultSubtotal="0">
      <items count="11">
        <item x="2"/>
        <item x="6"/>
        <item h="1" x="7"/>
        <item h="1" x="4"/>
        <item h="1" x="8"/>
        <item x="0"/>
        <item h="1" x="9"/>
        <item h="1" x="3"/>
        <item x="5"/>
        <item h="1" x="10"/>
        <item h="1" x="1"/>
      </items>
    </pivotField>
    <pivotField name="-&gt;Tipo de Problema" compact="0" outline="0" multipleItemSelectionAllowed="1" showAll="0"/>
    <pivotField name="-&gt; Metodologia código final" compact="0" outline="0" multipleItemSelectionAllowed="1" showAll="0"/>
    <pivotField name="-&gt; Cerimônia Código Final" compact="0" outline="0" multipleItemSelectionAllowed="1" showAll="0"/>
    <pivotField name="-&gt; Papel Código Final" compact="0" outline="0" multipleItemSelectionAllowed="1" showAll="0"/>
    <pivotField name="-&gt; Efeito Código Final" axis="axisRow" dataField="1" compact="0" outline="0" multipleItemSelectionAllowed="1" showAll="0" sortType="ascending">
      <items count="14">
        <item x="8"/>
        <item x="1"/>
        <item x="3"/>
        <item x="11"/>
        <item x="12"/>
        <item x="4"/>
        <item x="7"/>
        <item x="9"/>
        <item x="6"/>
        <item x="5"/>
        <item x="0"/>
        <item x="10"/>
        <item x="2"/>
        <item t="default"/>
      </items>
    </pivotField>
    <pivotField name="-&gt; Efeito: Categorias" compact="0" outline="0" multipleItemSelectionAllowed="1" showAll="0"/>
    <pivotField name="-&gt; Possíveis Soluções - Código Final" compact="0" outline="0" multipleItemSelectionAllowed="1" showAll="0"/>
  </pivotFields>
  <rowFields count="2">
    <field x="1"/>
    <field x="6"/>
  </rowFields>
  <rowItems count="18">
    <i>
      <x/>
      <x v="2"/>
    </i>
    <i r="1">
      <x v="11"/>
    </i>
    <i r="1">
      <x v="12"/>
    </i>
    <i>
      <x v="1"/>
      <x/>
    </i>
    <i r="1">
      <x v="2"/>
    </i>
    <i r="1">
      <x v="4"/>
    </i>
    <i r="1">
      <x v="6"/>
    </i>
    <i>
      <x v="5"/>
      <x/>
    </i>
    <i r="1">
      <x v="1"/>
    </i>
    <i r="1">
      <x v="5"/>
    </i>
    <i r="1">
      <x v="7"/>
    </i>
    <i r="1">
      <x v="9"/>
    </i>
    <i r="1">
      <x v="10"/>
    </i>
    <i r="1">
      <x v="11"/>
    </i>
    <i>
      <x v="8"/>
      <x v="2"/>
    </i>
    <i r="1">
      <x v="3"/>
    </i>
    <i r="1">
      <x v="9"/>
    </i>
    <i t="grand">
      <x/>
    </i>
  </rowItems>
  <colFields count="1">
    <field x="-2"/>
  </colFields>
  <colItems count="2">
    <i>
      <x/>
    </i>
    <i i="1">
      <x v="1"/>
    </i>
  </colItems>
  <dataFields count="2">
    <dataField name="COUNTA of -&gt; Efeito Código Final" fld="6" subtotal="count" baseField="0"/>
    <dataField name="COUNTA of -&gt; Efeito Código Final" fld="6"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100-000006000000}" name="Cópia de Cópia de Análise RQ1 E" cacheId="14" applyNumberFormats="0" applyBorderFormats="0" applyFontFormats="0" applyPatternFormats="0" applyAlignmentFormats="0" applyWidthHeightFormats="0" dataCaption="" updatedVersion="8" compact="0" compactData="0">
  <location ref="A1:C14" firstHeaderRow="1" firstDataRow="1" firstDataCol="2"/>
  <pivotFields count="9">
    <pivotField name="ID" compact="0" outline="0" multipleItemSelectionAllowed="1" showAll="0"/>
    <pivotField name="-&gt;Problema código final" dataField="1" compact="0" outline="0" multipleItemSelectionAllowed="1" showAll="0"/>
    <pivotField name="-&gt;Tipo de Problema" axis="axisRow" compact="0" outline="0" multipleItemSelectionAllowed="1" showAll="0" sortType="ascending" defaultSubtotal="0">
      <items count="2">
        <item x="1"/>
        <item x="0"/>
      </items>
    </pivotField>
    <pivotField name="-&gt; Metodologia código final" compact="0" outline="0" multipleItemSelectionAllowed="1" showAll="0"/>
    <pivotField name="-&gt; Cerimônia Código Final" compact="0" outline="0" multipleItemSelectionAllowed="1" showAll="0"/>
    <pivotField name="-&gt; Papel Código Final" compact="0" outline="0" multipleItemSelectionAllowed="1" showAll="0"/>
    <pivotField name="-&gt; Efeito Código Final" compact="0" outline="0" multipleItemSelectionAllowed="1" showAll="0"/>
    <pivotField name="-&gt; Efeito: Categorias" axis="axisRow" compact="0" outline="0" multipleItemSelectionAllowed="1" showAll="0" sortType="ascending">
      <items count="7">
        <item x="5"/>
        <item x="3"/>
        <item x="2"/>
        <item x="1"/>
        <item x="4"/>
        <item x="0"/>
        <item t="default"/>
      </items>
    </pivotField>
    <pivotField name="-&gt; Possíveis Soluções - Código Final" compact="0" outline="0" multipleItemSelectionAllowed="1" showAll="0"/>
  </pivotFields>
  <rowFields count="2">
    <field x="2"/>
    <field x="7"/>
  </rowFields>
  <rowItems count="13">
    <i>
      <x/>
      <x/>
    </i>
    <i r="1">
      <x v="1"/>
    </i>
    <i r="1">
      <x v="2"/>
    </i>
    <i r="1">
      <x v="3"/>
    </i>
    <i r="1">
      <x v="4"/>
    </i>
    <i r="1">
      <x v="5"/>
    </i>
    <i>
      <x v="1"/>
      <x/>
    </i>
    <i r="1">
      <x v="1"/>
    </i>
    <i r="1">
      <x v="2"/>
    </i>
    <i r="1">
      <x v="3"/>
    </i>
    <i r="1">
      <x v="4"/>
    </i>
    <i r="1">
      <x v="5"/>
    </i>
    <i t="grand">
      <x/>
    </i>
  </rowItems>
  <colItems count="1">
    <i/>
  </colItems>
  <dataFields count="1">
    <dataField name="COUNTA of -&gt;Problema código final"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300-000007000000}" name="Tabela dinâmica 2" cacheId="7" applyNumberFormats="0" applyBorderFormats="0" applyFontFormats="0" applyPatternFormats="0" applyAlignmentFormats="0" applyWidthHeightFormats="0" dataCaption="" updatedVersion="8" rowGrandTotals="0" compact="0" compactData="0">
  <location ref="A1:B89" firstHeaderRow="1" firstDataRow="1" firstDataCol="1"/>
  <pivotFields count="12">
    <pivotField name="ID" compact="0" outline="0" multipleItemSelectionAllowed="1" showAll="0"/>
    <pivotField name="-&gt;Problema código final" dataField="1" compact="0" outline="0" multipleItemSelectionAllowed="1" showAll="0"/>
    <pivotField name="-&gt;Tipo de Problema" compact="0" outline="0" multipleItemSelectionAllowed="1" showAll="0"/>
    <pivotField name="-&gt; Metodologia código final" compact="0" outline="0" multipleItemSelectionAllowed="1" showAll="0"/>
    <pivotField name="-&gt; Cerimônia Código Final" compact="0" outline="0" multipleItemSelectionAllowed="1" showAll="0"/>
    <pivotField name="-&gt; Papel Código Final" compact="0" outline="0" multipleItemSelectionAllowed="1" showAll="0"/>
    <pivotField name="-&gt; Efeito Código Final" compact="0" outline="0" multipleItemSelectionAllowed="1" showAll="0"/>
    <pivotField name="-&gt; Efeito: Categorias" compact="0" outline="0" multipleItemSelectionAllowed="1" showAll="0"/>
    <pivotField name="-&gt; Possíveis Soluções - Código Final" compact="0" outline="0" multipleItemSelectionAllowed="1" showAll="0"/>
    <pivotField name="Solução Código Final" compact="0" outline="0" multipleItemSelectionAllowed="1" showAll="0"/>
    <pivotField name="--&gt; Solução meta final" axis="axisRow" compact="0" outline="0" multipleItemSelectionAllowed="1" showAll="0" sortType="ascending">
      <items count="89">
        <item x="1"/>
        <item x="2"/>
        <item x="3"/>
        <item x="4"/>
        <item x="5"/>
        <item x="6"/>
        <item x="9"/>
        <item x="11"/>
        <item x="14"/>
        <item x="8"/>
        <item x="16"/>
        <item x="19"/>
        <item x="36"/>
        <item x="22"/>
        <item x="25"/>
        <item x="26"/>
        <item x="28"/>
        <item x="31"/>
        <item x="32"/>
        <item x="20"/>
        <item x="34"/>
        <item x="12"/>
        <item x="33"/>
        <item x="37"/>
        <item x="39"/>
        <item x="41"/>
        <item x="27"/>
        <item x="42"/>
        <item x="23"/>
        <item x="44"/>
        <item x="45"/>
        <item x="60"/>
        <item x="47"/>
        <item x="38"/>
        <item x="13"/>
        <item x="50"/>
        <item x="57"/>
        <item x="10"/>
        <item x="54"/>
        <item x="55"/>
        <item x="21"/>
        <item x="58"/>
        <item x="59"/>
        <item x="49"/>
        <item x="62"/>
        <item x="15"/>
        <item x="40"/>
        <item x="64"/>
        <item x="51"/>
        <item x="24"/>
        <item x="65"/>
        <item x="66"/>
        <item x="46"/>
        <item x="48"/>
        <item x="67"/>
        <item x="61"/>
        <item x="69"/>
        <item x="68"/>
        <item x="63"/>
        <item x="70"/>
        <item x="17"/>
        <item x="71"/>
        <item x="53"/>
        <item x="72"/>
        <item x="74"/>
        <item x="75"/>
        <item x="52"/>
        <item x="76"/>
        <item x="29"/>
        <item x="84"/>
        <item x="56"/>
        <item x="0"/>
        <item x="73"/>
        <item x="77"/>
        <item x="78"/>
        <item x="79"/>
        <item x="80"/>
        <item x="43"/>
        <item x="82"/>
        <item x="83"/>
        <item x="7"/>
        <item x="18"/>
        <item x="85"/>
        <item x="86"/>
        <item x="87"/>
        <item x="81"/>
        <item x="35"/>
        <item x="30"/>
        <item t="default"/>
      </items>
    </pivotField>
    <pivotField name="-&gt; Categoria" compact="0" outline="0" multipleItemSelectionAllowed="1" showAll="0"/>
  </pivotFields>
  <rowFields count="1">
    <field x="10"/>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rowItems>
  <colItems count="1">
    <i/>
  </colItems>
  <dataFields count="1">
    <dataField name="COUNTA of -&gt;Problema código final"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pm.stackexchange.com/questions/" TargetMode="External"/><Relationship Id="rId21" Type="http://schemas.openxmlformats.org/officeDocument/2006/relationships/hyperlink" Target="https://softwareengineering.stackexchange.com/questions/" TargetMode="External"/><Relationship Id="rId42" Type="http://schemas.openxmlformats.org/officeDocument/2006/relationships/hyperlink" Target="https://softwareengineering.stackexchange.com/questions/" TargetMode="External"/><Relationship Id="rId63" Type="http://schemas.openxmlformats.org/officeDocument/2006/relationships/hyperlink" Target="https://softwareengineering.stackexchange.com/questions/" TargetMode="External"/><Relationship Id="rId84" Type="http://schemas.openxmlformats.org/officeDocument/2006/relationships/hyperlink" Target="https://pm.stackexchange.com/questions/" TargetMode="External"/><Relationship Id="rId138" Type="http://schemas.openxmlformats.org/officeDocument/2006/relationships/hyperlink" Target="https://pm.stackexchange.com/questions/31614/how-to-incorporate-ux-ui-in-sprint-correctly-when-mockups-are-required-to-estima" TargetMode="External"/><Relationship Id="rId107" Type="http://schemas.openxmlformats.org/officeDocument/2006/relationships/hyperlink" Target="https://pm.stackexchange.com/questions/" TargetMode="External"/><Relationship Id="rId11" Type="http://schemas.openxmlformats.org/officeDocument/2006/relationships/hyperlink" Target="https://softwareengineering.stackexchange.com/questions/41750/many-user-stories-share-the-same-technical-tasks-what-to-do" TargetMode="External"/><Relationship Id="rId32" Type="http://schemas.openxmlformats.org/officeDocument/2006/relationships/hyperlink" Target="https://softwareengineering.stackexchange.com/questions/" TargetMode="External"/><Relationship Id="rId53" Type="http://schemas.openxmlformats.org/officeDocument/2006/relationships/hyperlink" Target="https://softwareengineering.stackexchange.com/questions/240325/should-a-user-story-be-shared-between-developers" TargetMode="External"/><Relationship Id="rId74" Type="http://schemas.openxmlformats.org/officeDocument/2006/relationships/hyperlink" Target="https://pm.stackexchange.com/questions/" TargetMode="External"/><Relationship Id="rId128" Type="http://schemas.openxmlformats.org/officeDocument/2006/relationships/hyperlink" Target="https://pm.stackexchange.com/questions/25714/how-to-write-a-user-story-involving-artistic-work" TargetMode="External"/><Relationship Id="rId149" Type="http://schemas.openxmlformats.org/officeDocument/2006/relationships/hyperlink" Target="https://pm.stackexchange.com/questions/34041/acceptance-criteria-for-user-story-on-interface-adapting-for-devices-with-differ" TargetMode="External"/><Relationship Id="rId5" Type="http://schemas.openxmlformats.org/officeDocument/2006/relationships/hyperlink" Target="https://softwareengineering.stackexchange.com/questions/" TargetMode="External"/><Relationship Id="rId95" Type="http://schemas.openxmlformats.org/officeDocument/2006/relationships/hyperlink" Target="https://softwareengineering.stackexchange.com/questions/" TargetMode="External"/><Relationship Id="rId22" Type="http://schemas.openxmlformats.org/officeDocument/2006/relationships/hyperlink" Target="https://softwareengineering.stackexchange.com/questions/" TargetMode="External"/><Relationship Id="rId27" Type="http://schemas.openxmlformats.org/officeDocument/2006/relationships/hyperlink" Target="https://softwareengineering.stackexchange.com/questions/" TargetMode="External"/><Relationship Id="rId43" Type="http://schemas.openxmlformats.org/officeDocument/2006/relationships/hyperlink" Target="https://softwareengineering.stackexchange.com/questions/" TargetMode="External"/><Relationship Id="rId48" Type="http://schemas.openxmlformats.org/officeDocument/2006/relationships/hyperlink" Target="https://softwareengineering.stackexchange.com/questions/" TargetMode="External"/><Relationship Id="rId64" Type="http://schemas.openxmlformats.org/officeDocument/2006/relationships/hyperlink" Target="https://pm.stackexchange.com/questions/" TargetMode="External"/><Relationship Id="rId69" Type="http://schemas.openxmlformats.org/officeDocument/2006/relationships/hyperlink" Target="https://softwareengineering.stackexchange.com/questions/232488/ux-designers-working-one-sprint-ahead" TargetMode="External"/><Relationship Id="rId113" Type="http://schemas.openxmlformats.org/officeDocument/2006/relationships/hyperlink" Target="https://pm.stackexchange.com/questions/" TargetMode="External"/><Relationship Id="rId118" Type="http://schemas.openxmlformats.org/officeDocument/2006/relationships/hyperlink" Target="https://pm.stackexchange.com/questions/" TargetMode="External"/><Relationship Id="rId134" Type="http://schemas.openxmlformats.org/officeDocument/2006/relationships/hyperlink" Target="https://pm.stackexchange.com/questions/30061/how-do-you-estimate-epics" TargetMode="External"/><Relationship Id="rId139" Type="http://schemas.openxmlformats.org/officeDocument/2006/relationships/hyperlink" Target="https://softwareengineering.stackexchange.com/questions/" TargetMode="External"/><Relationship Id="rId80" Type="http://schemas.openxmlformats.org/officeDocument/2006/relationships/hyperlink" Target="https://softwareengineering.stackexchange.com/questions/" TargetMode="External"/><Relationship Id="rId85" Type="http://schemas.openxmlformats.org/officeDocument/2006/relationships/hyperlink" Target="https://pm.stackexchange.com/questions/" TargetMode="External"/><Relationship Id="rId12" Type="http://schemas.openxmlformats.org/officeDocument/2006/relationships/hyperlink" Target="https://pm.stackexchange.com/questions/" TargetMode="External"/><Relationship Id="rId17" Type="http://schemas.openxmlformats.org/officeDocument/2006/relationships/hyperlink" Target="https://softwareengineering.stackexchange.com/questions/" TargetMode="External"/><Relationship Id="rId33" Type="http://schemas.openxmlformats.org/officeDocument/2006/relationships/hyperlink" Target="https://softwareengineering.stackexchange.com/questions/" TargetMode="External"/><Relationship Id="rId38" Type="http://schemas.openxmlformats.org/officeDocument/2006/relationships/hyperlink" Target="https://pm.stackexchange.com/questions/8679/how-does-a-team-new-to-product-and-domain-estimate-user-stories-of-a-ten-year" TargetMode="External"/><Relationship Id="rId59" Type="http://schemas.openxmlformats.org/officeDocument/2006/relationships/hyperlink" Target="https://softwareengineering.stackexchange.com/questions/" TargetMode="External"/><Relationship Id="rId103" Type="http://schemas.openxmlformats.org/officeDocument/2006/relationships/hyperlink" Target="https://softwareengineering.stackexchange.com/questions/" TargetMode="External"/><Relationship Id="rId108" Type="http://schemas.openxmlformats.org/officeDocument/2006/relationships/hyperlink" Target="https://pm.stackexchange.com/questions/" TargetMode="External"/><Relationship Id="rId124" Type="http://schemas.openxmlformats.org/officeDocument/2006/relationships/hyperlink" Target="https://softwareengineering.stackexchange.com/questions/" TargetMode="External"/><Relationship Id="rId129" Type="http://schemas.openxmlformats.org/officeDocument/2006/relationships/hyperlink" Target="https://pm.stackexchange.com/questions/" TargetMode="External"/><Relationship Id="rId54" Type="http://schemas.openxmlformats.org/officeDocument/2006/relationships/hyperlink" Target="https://pm.stackexchange.com/questions/" TargetMode="External"/><Relationship Id="rId70" Type="http://schemas.openxmlformats.org/officeDocument/2006/relationships/hyperlink" Target="https://softwareengineering.stackexchange.com/questions/" TargetMode="External"/><Relationship Id="rId75" Type="http://schemas.openxmlformats.org/officeDocument/2006/relationships/hyperlink" Target="https://softwareengineering.stackexchange.com/questions/" TargetMode="External"/><Relationship Id="rId91" Type="http://schemas.openxmlformats.org/officeDocument/2006/relationships/hyperlink" Target="https://pm.stackexchange.com/questions/" TargetMode="External"/><Relationship Id="rId96" Type="http://schemas.openxmlformats.org/officeDocument/2006/relationships/hyperlink" Target="https://softwareengineering.stackexchange.com/questions/" TargetMode="External"/><Relationship Id="rId140" Type="http://schemas.openxmlformats.org/officeDocument/2006/relationships/hyperlink" Target="https://softwareengineering.stackexchange.com/questions/" TargetMode="External"/><Relationship Id="rId145" Type="http://schemas.openxmlformats.org/officeDocument/2006/relationships/hyperlink" Target="https://softwareengineering.stackexchange.com/questions/" TargetMode="External"/><Relationship Id="rId1" Type="http://schemas.openxmlformats.org/officeDocument/2006/relationships/hyperlink" Target="https://pm.stackexchange.com/questions/" TargetMode="External"/><Relationship Id="rId6" Type="http://schemas.openxmlformats.org/officeDocument/2006/relationships/hyperlink" Target="https://softwareengineering.stackexchange.com/questions/127213/agile-product-planning-alternatives-to-aid-goal-oriented-feature-quality" TargetMode="External"/><Relationship Id="rId23" Type="http://schemas.openxmlformats.org/officeDocument/2006/relationships/hyperlink" Target="https://softwareengineering.stackexchange.com/questions/" TargetMode="External"/><Relationship Id="rId28" Type="http://schemas.openxmlformats.org/officeDocument/2006/relationships/hyperlink" Target="https://softwareengineering.stackexchange.com/questions/" TargetMode="External"/><Relationship Id="rId49" Type="http://schemas.openxmlformats.org/officeDocument/2006/relationships/hyperlink" Target="https://softwareengineering.stackexchange.com/questions/231273/how-to-get-better-understanding-of-the-users-as-a-programmer" TargetMode="External"/><Relationship Id="rId114" Type="http://schemas.openxmlformats.org/officeDocument/2006/relationships/hyperlink" Target="https://pm.stackexchange.com/questions/" TargetMode="External"/><Relationship Id="rId119" Type="http://schemas.openxmlformats.org/officeDocument/2006/relationships/hyperlink" Target="https://pm.stackexchange.com/questions/" TargetMode="External"/><Relationship Id="rId44" Type="http://schemas.openxmlformats.org/officeDocument/2006/relationships/hyperlink" Target="https://softwareengineering.stackexchange.com/questions/" TargetMode="External"/><Relationship Id="rId60" Type="http://schemas.openxmlformats.org/officeDocument/2006/relationships/hyperlink" Target="https://softwareengineering.stackexchange.com/questions/" TargetMode="External"/><Relationship Id="rId65" Type="http://schemas.openxmlformats.org/officeDocument/2006/relationships/hyperlink" Target="https://softwareengineering.stackexchange.com/questions/" TargetMode="External"/><Relationship Id="rId81" Type="http://schemas.openxmlformats.org/officeDocument/2006/relationships/hyperlink" Target="https://softwareengineering.stackexchange.com/questions/354302/how-can-agile-be-applied-to-applications-involving-complex-processing" TargetMode="External"/><Relationship Id="rId86" Type="http://schemas.openxmlformats.org/officeDocument/2006/relationships/hyperlink" Target="https://pm.stackexchange.com/questions/22001/how-to-allocate-story-points-on-extremely-complex-user-stories" TargetMode="External"/><Relationship Id="rId130" Type="http://schemas.openxmlformats.org/officeDocument/2006/relationships/hyperlink" Target="https://pm.stackexchange.com/questions/" TargetMode="External"/><Relationship Id="rId135" Type="http://schemas.openxmlformats.org/officeDocument/2006/relationships/hyperlink" Target="https://softwareengineering.stackexchange.com/questions/" TargetMode="External"/><Relationship Id="rId13" Type="http://schemas.openxmlformats.org/officeDocument/2006/relationships/hyperlink" Target="https://pm.stackexchange.com/questions/" TargetMode="External"/><Relationship Id="rId18" Type="http://schemas.openxmlformats.org/officeDocument/2006/relationships/hyperlink" Target="https://softwareengineering.stackexchange.com/questions/147937/how-much-detail-about-a-user-story-can-a-developer-expect" TargetMode="External"/><Relationship Id="rId39" Type="http://schemas.openxmlformats.org/officeDocument/2006/relationships/hyperlink" Target="https://pm.stackexchange.com/questions/" TargetMode="External"/><Relationship Id="rId109" Type="http://schemas.openxmlformats.org/officeDocument/2006/relationships/hyperlink" Target="https://pm.stackexchange.com/questions/" TargetMode="External"/><Relationship Id="rId34" Type="http://schemas.openxmlformats.org/officeDocument/2006/relationships/hyperlink" Target="https://softwareengineering.stackexchange.com/questions/127300/i-would-like-to-improve-in-writing-goal-oriented-user-stories-features" TargetMode="External"/><Relationship Id="rId50" Type="http://schemas.openxmlformats.org/officeDocument/2006/relationships/hyperlink" Target="https://softwareengineering.stackexchange.com/questions/" TargetMode="External"/><Relationship Id="rId55" Type="http://schemas.openxmlformats.org/officeDocument/2006/relationships/hyperlink" Target="https://pm.stackexchange.com/questions/11247/why-not-use-costs-instead-of-story-points-for-estimation" TargetMode="External"/><Relationship Id="rId76" Type="http://schemas.openxmlformats.org/officeDocument/2006/relationships/hyperlink" Target="https://pm.stackexchange.com/questions/" TargetMode="External"/><Relationship Id="rId97" Type="http://schemas.openxmlformats.org/officeDocument/2006/relationships/hyperlink" Target="https://softwareengineering.stackexchange.com/questions/" TargetMode="External"/><Relationship Id="rId104" Type="http://schemas.openxmlformats.org/officeDocument/2006/relationships/hyperlink" Target="https://softwareengineering.stackexchange.com/questions/" TargetMode="External"/><Relationship Id="rId120" Type="http://schemas.openxmlformats.org/officeDocument/2006/relationships/hyperlink" Target="https://softwareengineering.stackexchange.com/questions/" TargetMode="External"/><Relationship Id="rId125" Type="http://schemas.openxmlformats.org/officeDocument/2006/relationships/hyperlink" Target="https://softwareengineering.stackexchange.com/questions/" TargetMode="External"/><Relationship Id="rId141" Type="http://schemas.openxmlformats.org/officeDocument/2006/relationships/hyperlink" Target="https://pm.stackexchange.com/questions/" TargetMode="External"/><Relationship Id="rId146" Type="http://schemas.openxmlformats.org/officeDocument/2006/relationships/hyperlink" Target="https://softwareengineering.stackexchange.com/questions/194180/user-stories-are-too-high-level-and-conceptual-management-expects-developers-to" TargetMode="External"/><Relationship Id="rId7" Type="http://schemas.openxmlformats.org/officeDocument/2006/relationships/hyperlink" Target="https://pm.stackexchange.com/questions/" TargetMode="External"/><Relationship Id="rId71" Type="http://schemas.openxmlformats.org/officeDocument/2006/relationships/hyperlink" Target="https://softwareengineering.stackexchange.com/questions/315641/dev-and-tester-separated-team-and-single-sprint" TargetMode="External"/><Relationship Id="rId92" Type="http://schemas.openxmlformats.org/officeDocument/2006/relationships/hyperlink" Target="https://pm.stackexchange.com/questions/23855/how-to-plan-2-week-sprints-when-each-story-completed-will-generate-multiple-sto" TargetMode="External"/><Relationship Id="rId2" Type="http://schemas.openxmlformats.org/officeDocument/2006/relationships/hyperlink" Target="https://softwareengineering.stackexchange.com/questions/" TargetMode="External"/><Relationship Id="rId29" Type="http://schemas.openxmlformats.org/officeDocument/2006/relationships/hyperlink" Target="https://softwareengineering.stackexchange.com/questions/" TargetMode="External"/><Relationship Id="rId24" Type="http://schemas.openxmlformats.org/officeDocument/2006/relationships/hyperlink" Target="https://pm.stackexchange.com/questions/" TargetMode="External"/><Relationship Id="rId40" Type="http://schemas.openxmlformats.org/officeDocument/2006/relationships/hyperlink" Target="https://pm.stackexchange.com/questions/9878/how-can-i-manage-both-user-stories-and-other-non-backlog-tasks-if-using-versiono" TargetMode="External"/><Relationship Id="rId45" Type="http://schemas.openxmlformats.org/officeDocument/2006/relationships/hyperlink" Target="https://softwareengineering.stackexchange.com/questions/" TargetMode="External"/><Relationship Id="rId66" Type="http://schemas.openxmlformats.org/officeDocument/2006/relationships/hyperlink" Target="https://softwareengineering.stackexchange.com/questions/228110/disadvantages-of-vertical-user-stories" TargetMode="External"/><Relationship Id="rId87" Type="http://schemas.openxmlformats.org/officeDocument/2006/relationships/hyperlink" Target="https://pm.stackexchange.com/questions/" TargetMode="External"/><Relationship Id="rId110" Type="http://schemas.openxmlformats.org/officeDocument/2006/relationships/hyperlink" Target="https://pm.stackexchange.com/questions/27494/what-to-do-for-delayed-stories-between-sprints" TargetMode="External"/><Relationship Id="rId115" Type="http://schemas.openxmlformats.org/officeDocument/2006/relationships/hyperlink" Target="https://pm.stackexchange.com/questions/" TargetMode="External"/><Relationship Id="rId131" Type="http://schemas.openxmlformats.org/officeDocument/2006/relationships/hyperlink" Target="https://pm.stackexchange.com/questions/" TargetMode="External"/><Relationship Id="rId136" Type="http://schemas.openxmlformats.org/officeDocument/2006/relationships/hyperlink" Target="https://softwareengineering.stackexchange.com/questions/403583/how-to-determine-the-cost-of-a-story-point" TargetMode="External"/><Relationship Id="rId61" Type="http://schemas.openxmlformats.org/officeDocument/2006/relationships/hyperlink" Target="https://softwareengineering.stackexchange.com/questions/" TargetMode="External"/><Relationship Id="rId82" Type="http://schemas.openxmlformats.org/officeDocument/2006/relationships/hyperlink" Target="https://softwareengineering.stackexchange.com/questions/" TargetMode="External"/><Relationship Id="rId19" Type="http://schemas.openxmlformats.org/officeDocument/2006/relationships/hyperlink" Target="https://pm.stackexchange.com/questions/" TargetMode="External"/><Relationship Id="rId14" Type="http://schemas.openxmlformats.org/officeDocument/2006/relationships/hyperlink" Target="https://sqa.stackexchange.com/questions/" TargetMode="External"/><Relationship Id="rId30" Type="http://schemas.openxmlformats.org/officeDocument/2006/relationships/hyperlink" Target="https://softwareengineering.stackexchange.com/questions/" TargetMode="External"/><Relationship Id="rId35" Type="http://schemas.openxmlformats.org/officeDocument/2006/relationships/hyperlink" Target="https://pm.stackexchange.com/questions/" TargetMode="External"/><Relationship Id="rId56" Type="http://schemas.openxmlformats.org/officeDocument/2006/relationships/hyperlink" Target="https://softwareengineering.stackexchange.com/questions/" TargetMode="External"/><Relationship Id="rId77" Type="http://schemas.openxmlformats.org/officeDocument/2006/relationships/hyperlink" Target="https://pm.stackexchange.com/questions/" TargetMode="External"/><Relationship Id="rId100" Type="http://schemas.openxmlformats.org/officeDocument/2006/relationships/hyperlink" Target="https://pm.stackexchange.com/questions/" TargetMode="External"/><Relationship Id="rId105" Type="http://schemas.openxmlformats.org/officeDocument/2006/relationships/hyperlink" Target="https://softwareengineering.stackexchange.com/questions/" TargetMode="External"/><Relationship Id="rId126" Type="http://schemas.openxmlformats.org/officeDocument/2006/relationships/hyperlink" Target="https://pm.stackexchange.com/questions/" TargetMode="External"/><Relationship Id="rId147" Type="http://schemas.openxmlformats.org/officeDocument/2006/relationships/hyperlink" Target="https://pm.stackexchange.com/questions/" TargetMode="External"/><Relationship Id="rId8" Type="http://schemas.openxmlformats.org/officeDocument/2006/relationships/hyperlink" Target="https://pm.stackexchange.com/questions/" TargetMode="External"/><Relationship Id="rId51" Type="http://schemas.openxmlformats.org/officeDocument/2006/relationships/hyperlink" Target="https://softwareengineering.stackexchange.com/questions/234758/the-place-of-ui-design-when-estimating-and-elaborating-user-stories" TargetMode="External"/><Relationship Id="rId72" Type="http://schemas.openxmlformats.org/officeDocument/2006/relationships/hyperlink" Target="https://pm.stackexchange.com/questions/" TargetMode="External"/><Relationship Id="rId93" Type="http://schemas.openxmlformats.org/officeDocument/2006/relationships/hyperlink" Target="https://softwareengineering.stackexchange.com/questions/" TargetMode="External"/><Relationship Id="rId98" Type="http://schemas.openxmlformats.org/officeDocument/2006/relationships/hyperlink" Target="https://softwareengineering.stackexchange.com/questions/" TargetMode="External"/><Relationship Id="rId121" Type="http://schemas.openxmlformats.org/officeDocument/2006/relationships/hyperlink" Target="https://softwareengineering.stackexchange.com/questions/398317/do-user-stories-need-to-be-independent-and-valuable-or-independently-valuable" TargetMode="External"/><Relationship Id="rId142" Type="http://schemas.openxmlformats.org/officeDocument/2006/relationships/hyperlink" Target="https://pm.stackexchange.com/questions/31666/how-to-implement-unit-testing-with-a-small-scrum-team-without-spending-half-the" TargetMode="External"/><Relationship Id="rId3" Type="http://schemas.openxmlformats.org/officeDocument/2006/relationships/hyperlink" Target="https://softwareengineering.stackexchange.com/questions/118123/in-scrum-what-to-do-when-story-points-and-task-hours-dont-roughly-correlate" TargetMode="External"/><Relationship Id="rId25" Type="http://schemas.openxmlformats.org/officeDocument/2006/relationships/hyperlink" Target="https://pm.stackexchange.com/questions/7953/how-to-keep-all-the-developers-on-the-same-page-in-scrum" TargetMode="External"/><Relationship Id="rId46" Type="http://schemas.openxmlformats.org/officeDocument/2006/relationships/hyperlink" Target="https://softwareengineering.stackexchange.com/questions/" TargetMode="External"/><Relationship Id="rId67" Type="http://schemas.openxmlformats.org/officeDocument/2006/relationships/hyperlink" Target="https://softwareengineering.stackexchange.com/questions/" TargetMode="External"/><Relationship Id="rId116" Type="http://schemas.openxmlformats.org/officeDocument/2006/relationships/hyperlink" Target="https://softwareengineering.stackexchange.com/questions/" TargetMode="External"/><Relationship Id="rId137" Type="http://schemas.openxmlformats.org/officeDocument/2006/relationships/hyperlink" Target="https://pm.stackexchange.com/questions/" TargetMode="External"/><Relationship Id="rId20" Type="http://schemas.openxmlformats.org/officeDocument/2006/relationships/hyperlink" Target="https://softwareengineering.stackexchange.com/questions/" TargetMode="External"/><Relationship Id="rId41" Type="http://schemas.openxmlformats.org/officeDocument/2006/relationships/hyperlink" Target="https://softwareengineering.stackexchange.com/questions/" TargetMode="External"/><Relationship Id="rId62" Type="http://schemas.openxmlformats.org/officeDocument/2006/relationships/hyperlink" Target="https://softwareengineering.stackexchange.com/questions/" TargetMode="External"/><Relationship Id="rId83" Type="http://schemas.openxmlformats.org/officeDocument/2006/relationships/hyperlink" Target="https://softwareengineering.stackexchange.com/questions/340712/how-can-user-story-maps-be-used-for-projects-with-heavy-backend-work-and-little" TargetMode="External"/><Relationship Id="rId88" Type="http://schemas.openxmlformats.org/officeDocument/2006/relationships/hyperlink" Target="https://pm.stackexchange.com/questions/" TargetMode="External"/><Relationship Id="rId111" Type="http://schemas.openxmlformats.org/officeDocument/2006/relationships/hyperlink" Target="https://softwareengineering.stackexchange.com/questions/" TargetMode="External"/><Relationship Id="rId132" Type="http://schemas.openxmlformats.org/officeDocument/2006/relationships/hyperlink" Target="https://pm.stackexchange.com/questions/25744/lingua-franca-for-technical-stories" TargetMode="External"/><Relationship Id="rId15" Type="http://schemas.openxmlformats.org/officeDocument/2006/relationships/hyperlink" Target="https://pm.stackexchange.com/questions/" TargetMode="External"/><Relationship Id="rId36" Type="http://schemas.openxmlformats.org/officeDocument/2006/relationships/hyperlink" Target="https://pm.stackexchange.com/questions/8410/how-should-a-team-handle-disagreements-about-story-point-estimates-in-scrum" TargetMode="External"/><Relationship Id="rId57" Type="http://schemas.openxmlformats.org/officeDocument/2006/relationships/hyperlink" Target="https://pm.stackexchange.com/questions/" TargetMode="External"/><Relationship Id="rId106" Type="http://schemas.openxmlformats.org/officeDocument/2006/relationships/hyperlink" Target="https://pm.stackexchange.com/questions/" TargetMode="External"/><Relationship Id="rId127" Type="http://schemas.openxmlformats.org/officeDocument/2006/relationships/hyperlink" Target="https://pm.stackexchange.com/questions/" TargetMode="External"/><Relationship Id="rId10" Type="http://schemas.openxmlformats.org/officeDocument/2006/relationships/hyperlink" Target="https://softwareengineering.stackexchange.com/questions/" TargetMode="External"/><Relationship Id="rId31" Type="http://schemas.openxmlformats.org/officeDocument/2006/relationships/hyperlink" Target="https://softwareengineering.stackexchange.com/questions/" TargetMode="External"/><Relationship Id="rId52" Type="http://schemas.openxmlformats.org/officeDocument/2006/relationships/hyperlink" Target="https://softwareengineering.stackexchange.com/questions/" TargetMode="External"/><Relationship Id="rId73" Type="http://schemas.openxmlformats.org/officeDocument/2006/relationships/hyperlink" Target="https://pm.stackexchange.com/questions/" TargetMode="External"/><Relationship Id="rId78" Type="http://schemas.openxmlformats.org/officeDocument/2006/relationships/hyperlink" Target="https://pm.stackexchange.com/questions/" TargetMode="External"/><Relationship Id="rId94" Type="http://schemas.openxmlformats.org/officeDocument/2006/relationships/hyperlink" Target="https://softwareengineering.stackexchange.com/questions/" TargetMode="External"/><Relationship Id="rId99" Type="http://schemas.openxmlformats.org/officeDocument/2006/relationships/hyperlink" Target="https://softwareengineering.stackexchange.com/questions/" TargetMode="External"/><Relationship Id="rId101" Type="http://schemas.openxmlformats.org/officeDocument/2006/relationships/hyperlink" Target="https://pm.stackexchange.com/questions/25196/how-to-write-a-summary-for-a-user-story" TargetMode="External"/><Relationship Id="rId122" Type="http://schemas.openxmlformats.org/officeDocument/2006/relationships/hyperlink" Target="https://pm.stackexchange.com/questions/" TargetMode="External"/><Relationship Id="rId143" Type="http://schemas.openxmlformats.org/officeDocument/2006/relationships/hyperlink" Target="https://sqa.stackexchange.com/questions/" TargetMode="External"/><Relationship Id="rId148" Type="http://schemas.openxmlformats.org/officeDocument/2006/relationships/hyperlink" Target="https://pm.stackexchange.com/questions/" TargetMode="External"/><Relationship Id="rId4" Type="http://schemas.openxmlformats.org/officeDocument/2006/relationships/hyperlink" Target="https://pm.stackexchange.com/questions/" TargetMode="External"/><Relationship Id="rId9" Type="http://schemas.openxmlformats.org/officeDocument/2006/relationships/hyperlink" Target="https://pm.stackexchange.com/questions/" TargetMode="External"/><Relationship Id="rId26" Type="http://schemas.openxmlformats.org/officeDocument/2006/relationships/hyperlink" Target="https://softwareengineering.stackexchange.com/questions/" TargetMode="External"/><Relationship Id="rId47" Type="http://schemas.openxmlformats.org/officeDocument/2006/relationships/hyperlink" Target="https://softwareengineering.stackexchange.com/questions/" TargetMode="External"/><Relationship Id="rId68" Type="http://schemas.openxmlformats.org/officeDocument/2006/relationships/hyperlink" Target="https://softwareengineering.stackexchange.com/questions/" TargetMode="External"/><Relationship Id="rId89" Type="http://schemas.openxmlformats.org/officeDocument/2006/relationships/hyperlink" Target="https://pm.stackexchange.com/questions/" TargetMode="External"/><Relationship Id="rId112" Type="http://schemas.openxmlformats.org/officeDocument/2006/relationships/hyperlink" Target="https://pm.stackexchange.com/questions/" TargetMode="External"/><Relationship Id="rId133" Type="http://schemas.openxmlformats.org/officeDocument/2006/relationships/hyperlink" Target="https://pm.stackexchange.com/questions/" TargetMode="External"/><Relationship Id="rId16" Type="http://schemas.openxmlformats.org/officeDocument/2006/relationships/hyperlink" Target="https://pm.stackexchange.com/questions/3017/where-should-design-be-incorporated-in-an-agile-process" TargetMode="External"/><Relationship Id="rId37" Type="http://schemas.openxmlformats.org/officeDocument/2006/relationships/hyperlink" Target="https://pm.stackexchange.com/questions/" TargetMode="External"/><Relationship Id="rId58" Type="http://schemas.openxmlformats.org/officeDocument/2006/relationships/hyperlink" Target="https://pm.stackexchange.com/questions/12641/what-is-the-way-to-go-to-create-tasks" TargetMode="External"/><Relationship Id="rId79" Type="http://schemas.openxmlformats.org/officeDocument/2006/relationships/hyperlink" Target="https://pm.stackexchange.com/questions/" TargetMode="External"/><Relationship Id="rId102" Type="http://schemas.openxmlformats.org/officeDocument/2006/relationships/hyperlink" Target="https://softwareengineering.stackexchange.com/questions/" TargetMode="External"/><Relationship Id="rId123" Type="http://schemas.openxmlformats.org/officeDocument/2006/relationships/hyperlink" Target="https://softwareengineering.stackexchange.com/questions/" TargetMode="External"/><Relationship Id="rId144" Type="http://schemas.openxmlformats.org/officeDocument/2006/relationships/hyperlink" Target="https://sqa.stackexchange.com/questions/" TargetMode="External"/><Relationship Id="rId90" Type="http://schemas.openxmlformats.org/officeDocument/2006/relationships/hyperlink" Target="https://softwareengineering.stackexchange.com/question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qa.stackexchange.com/questions" TargetMode="External"/><Relationship Id="rId18" Type="http://schemas.openxmlformats.org/officeDocument/2006/relationships/hyperlink" Target="https://sqa.stackexchange.com/questions/560/techniques-to-write-good-acceptance-criteria-for-user-stories" TargetMode="External"/><Relationship Id="rId26" Type="http://schemas.openxmlformats.org/officeDocument/2006/relationships/hyperlink" Target="https://pm.stackexchange.com/questions/" TargetMode="External"/><Relationship Id="rId21" Type="http://schemas.openxmlformats.org/officeDocument/2006/relationships/hyperlink" Target="https://pm.stackexchange.com/questions/" TargetMode="External"/><Relationship Id="rId34" Type="http://schemas.openxmlformats.org/officeDocument/2006/relationships/hyperlink" Target="https://softwareengineering.stackexchange.com/questions/" TargetMode="External"/><Relationship Id="rId7" Type="http://schemas.openxmlformats.org/officeDocument/2006/relationships/hyperlink" Target="https://softwareengineering.stackexchange.com/questions" TargetMode="External"/><Relationship Id="rId12" Type="http://schemas.openxmlformats.org/officeDocument/2006/relationships/hyperlink" Target="https://softwareengineering.stackexchange.com/questions/41750/many-user-stories-share-the-same-technical-tasks-what-to-do" TargetMode="External"/><Relationship Id="rId17" Type="http://schemas.openxmlformats.org/officeDocument/2006/relationships/hyperlink" Target="https://sqa.stackexchange.com/questions" TargetMode="External"/><Relationship Id="rId25" Type="http://schemas.openxmlformats.org/officeDocument/2006/relationships/hyperlink" Target="https://pm.stackexchange.com/questions/" TargetMode="External"/><Relationship Id="rId33" Type="http://schemas.openxmlformats.org/officeDocument/2006/relationships/hyperlink" Target="https://softwareengineering.stackexchange.com/questions/108204/the-business-and-architecture-challenge-behind-creating-effective-user-stories" TargetMode="External"/><Relationship Id="rId38" Type="http://schemas.openxmlformats.org/officeDocument/2006/relationships/drawing" Target="../drawings/drawing1.xml"/><Relationship Id="rId2" Type="http://schemas.openxmlformats.org/officeDocument/2006/relationships/hyperlink" Target="https://pm.stackexchange.com/questions/7953/how-to-keep-all-the-developers-on-the-same-page-in-scrum" TargetMode="External"/><Relationship Id="rId16" Type="http://schemas.openxmlformats.org/officeDocument/2006/relationships/hyperlink" Target="https://sqa.stackexchange.com/questions/28211/how-to-respond-to-a-suggestion-from-management-to-stop-writing-manual-test-cases" TargetMode="External"/><Relationship Id="rId20" Type="http://schemas.openxmlformats.org/officeDocument/2006/relationships/hyperlink" Target="https://pm.stackexchange.com/questions/8185/managing-a-product-owner-in-a-not-yet-agile-organization" TargetMode="External"/><Relationship Id="rId29" Type="http://schemas.openxmlformats.org/officeDocument/2006/relationships/hyperlink" Target="https://softwareengineering.stackexchange.com/questions/86974/company-wants-to-write-custom-project-management-tool-rather-than-use-third-par" TargetMode="External"/><Relationship Id="rId1" Type="http://schemas.openxmlformats.org/officeDocument/2006/relationships/hyperlink" Target="https://pm.stackexchange.com/questions" TargetMode="External"/><Relationship Id="rId6" Type="http://schemas.openxmlformats.org/officeDocument/2006/relationships/hyperlink" Target="https://pm.stackexchange.com/questions/3017/where-should-design-be-incorporated-in-an-agile-process" TargetMode="External"/><Relationship Id="rId11" Type="http://schemas.openxmlformats.org/officeDocument/2006/relationships/hyperlink" Target="https://softwareengineering.stackexchange.com/questions" TargetMode="External"/><Relationship Id="rId24" Type="http://schemas.openxmlformats.org/officeDocument/2006/relationships/hyperlink" Target="https://pm.stackexchange.com/questions/28228/how-should-a-scrum-master-handle-disagreements-about-story-point-estimates-in-sc" TargetMode="External"/><Relationship Id="rId32" Type="http://schemas.openxmlformats.org/officeDocument/2006/relationships/hyperlink" Target="https://softwareengineering.stackexchange.com/questions/" TargetMode="External"/><Relationship Id="rId37" Type="http://schemas.openxmlformats.org/officeDocument/2006/relationships/hyperlink" Target="https://softwareengineering.stackexchange.com/questions/127213/agile-product-planning-alternatives-to-aid-goal-oriented-feature-quality" TargetMode="External"/><Relationship Id="rId5" Type="http://schemas.openxmlformats.org/officeDocument/2006/relationships/hyperlink" Target="https://pm.stackexchange.com/questions" TargetMode="External"/><Relationship Id="rId15" Type="http://schemas.openxmlformats.org/officeDocument/2006/relationships/hyperlink" Target="https://sqa.stackexchange.com/questions" TargetMode="External"/><Relationship Id="rId23" Type="http://schemas.openxmlformats.org/officeDocument/2006/relationships/hyperlink" Target="https://pm.stackexchange.com/questions/" TargetMode="External"/><Relationship Id="rId28" Type="http://schemas.openxmlformats.org/officeDocument/2006/relationships/hyperlink" Target="https://softwareengineering.stackexchange.com/questions/" TargetMode="External"/><Relationship Id="rId36" Type="http://schemas.openxmlformats.org/officeDocument/2006/relationships/hyperlink" Target="https://softwareengineering.stackexchange.com/questions/" TargetMode="External"/><Relationship Id="rId10" Type="http://schemas.openxmlformats.org/officeDocument/2006/relationships/hyperlink" Target="https://softwareengineering.stackexchange.com/questions/76191/how-do-you-handle-non-functional-work-with-scrum-in-embedded-eystems" TargetMode="External"/><Relationship Id="rId19" Type="http://schemas.openxmlformats.org/officeDocument/2006/relationships/hyperlink" Target="https://pm.stackexchange.com/questions/" TargetMode="External"/><Relationship Id="rId31" Type="http://schemas.openxmlformats.org/officeDocument/2006/relationships/hyperlink" Target="https://softwareengineering.stackexchange.com/questions/106966/in-scrum-why-shouldnt-the-product-owner-and-scrummaster-roles-be-combined" TargetMode="External"/><Relationship Id="rId4" Type="http://schemas.openxmlformats.org/officeDocument/2006/relationships/hyperlink" Target="https://pm.stackexchange.com/questions/5376/is-estimating-a-project-without-basic-requirements-or-user-stories-a-good-idea-f" TargetMode="External"/><Relationship Id="rId9" Type="http://schemas.openxmlformats.org/officeDocument/2006/relationships/hyperlink" Target="https://softwareengineering.stackexchange.com/questions" TargetMode="External"/><Relationship Id="rId14" Type="http://schemas.openxmlformats.org/officeDocument/2006/relationships/hyperlink" Target="https://sqa.stackexchange.com/questions/38429/how-to-deal-with-or-prevent-idle-in-the-test-team/38430" TargetMode="External"/><Relationship Id="rId22" Type="http://schemas.openxmlformats.org/officeDocument/2006/relationships/hyperlink" Target="https://pm.stackexchange.com/questions/8286/is-there-any-pm-methodology-that-works-well-on-large-projects" TargetMode="External"/><Relationship Id="rId27" Type="http://schemas.openxmlformats.org/officeDocument/2006/relationships/hyperlink" Target="https://pm.stackexchange.com/questions/9878/how-can-i-manage-both-user-stories-and-other-non-backlog-tasks-if-using-versiono" TargetMode="External"/><Relationship Id="rId30" Type="http://schemas.openxmlformats.org/officeDocument/2006/relationships/hyperlink" Target="https://softwareengineering.stackexchange.com/questions/" TargetMode="External"/><Relationship Id="rId35" Type="http://schemas.openxmlformats.org/officeDocument/2006/relationships/hyperlink" Target="https://softwareengineering.stackexchange.com/questions/118123/in-scrum-what-to-do-when-story-points-and-task-hours-dont-roughly-correlate" TargetMode="External"/><Relationship Id="rId8" Type="http://schemas.openxmlformats.org/officeDocument/2006/relationships/hyperlink" Target="https://softwareengineering.stackexchange.com/questions/82429/is-fpa-incompatible-with-agile" TargetMode="External"/><Relationship Id="rId3" Type="http://schemas.openxmlformats.org/officeDocument/2006/relationships/hyperlink" Target="https://pm.stackexchange.com/questions"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6"/>
  <sheetViews>
    <sheetView workbookViewId="0"/>
  </sheetViews>
  <sheetFormatPr defaultColWidth="12.6328125" defaultRowHeight="15.75" customHeight="1"/>
  <cols>
    <col min="1" max="1" width="90.7265625" customWidth="1"/>
  </cols>
  <sheetData>
    <row r="1" spans="1:1">
      <c r="A1" s="1" t="s">
        <v>0</v>
      </c>
    </row>
    <row r="2" spans="1:1">
      <c r="A2" s="1" t="s">
        <v>1</v>
      </c>
    </row>
    <row r="3" spans="1:1">
      <c r="A3" s="1" t="s">
        <v>2</v>
      </c>
    </row>
    <row r="4" spans="1:1">
      <c r="A4" s="1" t="s">
        <v>3</v>
      </c>
    </row>
    <row r="5" spans="1:1">
      <c r="A5" s="1" t="s">
        <v>4</v>
      </c>
    </row>
    <row r="6" spans="1:1">
      <c r="A6" s="1" t="s">
        <v>5</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17"/>
  <sheetViews>
    <sheetView topLeftCell="G24" workbookViewId="0">
      <selection activeCell="K18" sqref="K18"/>
    </sheetView>
  </sheetViews>
  <sheetFormatPr defaultColWidth="12.6328125" defaultRowHeight="15.75" customHeight="1"/>
  <cols>
    <col min="1" max="1" width="7.90625" customWidth="1"/>
    <col min="2" max="2" width="29" customWidth="1"/>
    <col min="3" max="3" width="9.08984375" customWidth="1"/>
    <col min="4" max="4" width="35" customWidth="1"/>
    <col min="5" max="5" width="47.08984375" customWidth="1"/>
    <col min="6" max="7" width="13.453125" customWidth="1"/>
    <col min="8" max="8" width="16.36328125" customWidth="1"/>
    <col min="9" max="9" width="23.08984375" customWidth="1"/>
    <col min="10" max="10" width="20.90625" customWidth="1"/>
  </cols>
  <sheetData>
    <row r="1" spans="1:11" ht="26">
      <c r="A1" s="2" t="s">
        <v>6</v>
      </c>
      <c r="B1" s="2" t="s">
        <v>7</v>
      </c>
      <c r="C1" s="2" t="s">
        <v>8</v>
      </c>
      <c r="D1" s="3" t="s">
        <v>9</v>
      </c>
      <c r="E1" s="2" t="s">
        <v>10</v>
      </c>
      <c r="F1" s="2" t="s">
        <v>11</v>
      </c>
      <c r="G1" s="2" t="s">
        <v>12</v>
      </c>
      <c r="H1" s="3" t="s">
        <v>13</v>
      </c>
      <c r="I1" s="3" t="s">
        <v>14</v>
      </c>
    </row>
    <row r="2" spans="1:11" ht="12.5">
      <c r="A2" s="4">
        <v>26493</v>
      </c>
      <c r="B2" s="5" t="s">
        <v>15</v>
      </c>
      <c r="D2" s="6" t="s">
        <v>16</v>
      </c>
      <c r="E2" s="7" t="s">
        <v>17</v>
      </c>
      <c r="F2" s="5" t="s">
        <v>3</v>
      </c>
      <c r="G2" s="5"/>
      <c r="H2" s="5"/>
      <c r="I2" s="5"/>
      <c r="K2" s="8"/>
    </row>
    <row r="3" spans="1:11" ht="12.5">
      <c r="A3" s="9">
        <v>118123</v>
      </c>
      <c r="B3" s="5" t="s">
        <v>19</v>
      </c>
      <c r="D3" s="8" t="s">
        <v>18</v>
      </c>
      <c r="E3" s="10" t="s">
        <v>20</v>
      </c>
      <c r="F3" s="5" t="s">
        <v>0</v>
      </c>
      <c r="G3" s="5">
        <v>2011</v>
      </c>
      <c r="H3" s="5">
        <v>2011</v>
      </c>
      <c r="I3" s="5" t="s">
        <v>21</v>
      </c>
      <c r="K3" s="6"/>
    </row>
    <row r="4" spans="1:11" ht="12.5">
      <c r="A4" s="4">
        <v>26940</v>
      </c>
      <c r="B4" s="5" t="s">
        <v>15</v>
      </c>
      <c r="D4" s="6" t="s">
        <v>16</v>
      </c>
      <c r="E4" s="7" t="s">
        <v>22</v>
      </c>
      <c r="F4" s="5" t="s">
        <v>3</v>
      </c>
      <c r="G4" s="5"/>
      <c r="H4" s="5"/>
      <c r="I4" s="5"/>
      <c r="K4" s="6"/>
    </row>
    <row r="5" spans="1:11" ht="12.5">
      <c r="A5" s="9">
        <v>127213</v>
      </c>
      <c r="B5" s="5" t="s">
        <v>19</v>
      </c>
      <c r="D5" s="8" t="s">
        <v>18</v>
      </c>
      <c r="E5" s="11" t="s">
        <v>24</v>
      </c>
      <c r="F5" s="5" t="s">
        <v>0</v>
      </c>
      <c r="G5" s="5">
        <v>2011</v>
      </c>
      <c r="H5" s="5">
        <v>2011</v>
      </c>
      <c r="I5" s="12" t="s">
        <v>25</v>
      </c>
    </row>
    <row r="6" spans="1:11" ht="12.5">
      <c r="A6" s="4">
        <v>29484</v>
      </c>
      <c r="B6" s="5" t="s">
        <v>15</v>
      </c>
      <c r="D6" s="6" t="s">
        <v>16</v>
      </c>
      <c r="E6" s="7" t="s">
        <v>26</v>
      </c>
      <c r="F6" s="5" t="s">
        <v>3</v>
      </c>
      <c r="G6" s="5"/>
      <c r="H6" s="5"/>
      <c r="I6" s="5"/>
    </row>
    <row r="7" spans="1:11" ht="12.5">
      <c r="A7" s="4">
        <v>29486</v>
      </c>
      <c r="B7" s="5" t="s">
        <v>15</v>
      </c>
      <c r="D7" s="6" t="s">
        <v>16</v>
      </c>
      <c r="E7" s="13" t="s">
        <v>27</v>
      </c>
      <c r="F7" s="5" t="s">
        <v>3</v>
      </c>
      <c r="G7" s="5"/>
      <c r="H7" s="5"/>
      <c r="I7" s="5"/>
    </row>
    <row r="8" spans="1:11" ht="12.5">
      <c r="A8" s="4">
        <v>29983</v>
      </c>
      <c r="B8" s="5" t="s">
        <v>15</v>
      </c>
      <c r="D8" s="6" t="s">
        <v>16</v>
      </c>
      <c r="E8" s="7" t="s">
        <v>28</v>
      </c>
      <c r="F8" s="5" t="s">
        <v>3</v>
      </c>
      <c r="G8" s="5"/>
      <c r="H8" s="5"/>
      <c r="I8" s="5"/>
    </row>
    <row r="9" spans="1:11" ht="12.5">
      <c r="A9" s="9">
        <v>41750</v>
      </c>
      <c r="B9" s="5" t="s">
        <v>19</v>
      </c>
      <c r="D9" s="8" t="s">
        <v>18</v>
      </c>
      <c r="E9" s="10" t="s">
        <v>29</v>
      </c>
      <c r="F9" s="5" t="s">
        <v>0</v>
      </c>
      <c r="G9" s="5">
        <v>2011</v>
      </c>
      <c r="H9" s="5">
        <v>2011</v>
      </c>
      <c r="I9" s="12" t="s">
        <v>30</v>
      </c>
    </row>
    <row r="10" spans="1:11" ht="12.5">
      <c r="A10" s="4">
        <v>30112</v>
      </c>
      <c r="B10" s="5" t="s">
        <v>15</v>
      </c>
      <c r="D10" s="6" t="s">
        <v>16</v>
      </c>
      <c r="E10" s="7" t="s">
        <v>31</v>
      </c>
      <c r="F10" s="5" t="s">
        <v>3</v>
      </c>
      <c r="G10" s="5"/>
      <c r="H10" s="5"/>
      <c r="J10" s="5"/>
    </row>
    <row r="11" spans="1:11" ht="12.5">
      <c r="A11" s="4">
        <v>30538</v>
      </c>
      <c r="B11" s="5" t="s">
        <v>15</v>
      </c>
      <c r="D11" s="6" t="s">
        <v>16</v>
      </c>
      <c r="E11" s="13" t="s">
        <v>32</v>
      </c>
      <c r="F11" s="5" t="s">
        <v>3</v>
      </c>
      <c r="G11" s="5"/>
      <c r="H11" s="5"/>
      <c r="I11" s="5"/>
    </row>
    <row r="12" spans="1:11" ht="12.5">
      <c r="A12" s="9">
        <v>560</v>
      </c>
      <c r="B12" s="5" t="s">
        <v>33</v>
      </c>
      <c r="D12" s="6" t="s">
        <v>23</v>
      </c>
      <c r="E12" s="7" t="s">
        <v>34</v>
      </c>
      <c r="F12" s="5" t="s">
        <v>0</v>
      </c>
      <c r="G12" s="5">
        <v>2011</v>
      </c>
      <c r="H12" s="5">
        <v>2011</v>
      </c>
      <c r="I12" s="12" t="s">
        <v>35</v>
      </c>
      <c r="J12" s="5"/>
    </row>
    <row r="13" spans="1:11" ht="12.5">
      <c r="A13" s="9">
        <v>3017</v>
      </c>
      <c r="B13" s="5" t="s">
        <v>15</v>
      </c>
      <c r="D13" s="6" t="s">
        <v>16</v>
      </c>
      <c r="E13" s="10" t="s">
        <v>36</v>
      </c>
      <c r="F13" s="5" t="s">
        <v>0</v>
      </c>
      <c r="G13" s="5">
        <v>2011</v>
      </c>
      <c r="H13" s="5">
        <v>2011</v>
      </c>
      <c r="I13" s="5" t="s">
        <v>37</v>
      </c>
      <c r="J13" s="5"/>
    </row>
    <row r="14" spans="1:11" ht="12.5">
      <c r="A14" s="9">
        <v>147937</v>
      </c>
      <c r="B14" s="5" t="s">
        <v>19</v>
      </c>
      <c r="D14" s="8" t="s">
        <v>18</v>
      </c>
      <c r="E14" s="10" t="s">
        <v>38</v>
      </c>
      <c r="F14" s="5" t="s">
        <v>0</v>
      </c>
      <c r="G14" s="5">
        <v>2012</v>
      </c>
      <c r="H14" s="5">
        <v>2012</v>
      </c>
      <c r="I14" s="5" t="s">
        <v>21</v>
      </c>
      <c r="J14" s="5"/>
    </row>
    <row r="15" spans="1:11" ht="12.5">
      <c r="A15" s="4">
        <v>35439</v>
      </c>
      <c r="B15" s="5" t="s">
        <v>15</v>
      </c>
      <c r="D15" s="6" t="s">
        <v>16</v>
      </c>
      <c r="E15" s="13" t="s">
        <v>39</v>
      </c>
      <c r="F15" s="5" t="s">
        <v>3</v>
      </c>
      <c r="G15" s="5"/>
      <c r="H15" s="5"/>
      <c r="J15" s="5"/>
    </row>
    <row r="16" spans="1:11" ht="12.5">
      <c r="A16" s="4">
        <v>341782</v>
      </c>
      <c r="B16" s="5" t="s">
        <v>19</v>
      </c>
      <c r="D16" s="8" t="s">
        <v>18</v>
      </c>
      <c r="E16" s="7" t="s">
        <v>41</v>
      </c>
      <c r="F16" s="5" t="s">
        <v>3</v>
      </c>
      <c r="G16" s="5"/>
      <c r="H16" s="5"/>
      <c r="I16" s="5"/>
    </row>
    <row r="17" spans="1:10" ht="12.5">
      <c r="A17" s="4">
        <v>343411</v>
      </c>
      <c r="B17" s="5" t="s">
        <v>19</v>
      </c>
      <c r="D17" s="8" t="s">
        <v>18</v>
      </c>
      <c r="E17" s="13" t="s">
        <v>42</v>
      </c>
      <c r="F17" s="5" t="s">
        <v>3</v>
      </c>
      <c r="G17" s="5"/>
      <c r="H17" s="5"/>
      <c r="I17" s="5"/>
    </row>
    <row r="18" spans="1:10" ht="12.5">
      <c r="A18" s="4">
        <v>348860</v>
      </c>
      <c r="B18" s="5" t="s">
        <v>19</v>
      </c>
      <c r="D18" s="8" t="s">
        <v>18</v>
      </c>
      <c r="E18" s="7" t="s">
        <v>43</v>
      </c>
      <c r="F18" s="5" t="s">
        <v>3</v>
      </c>
      <c r="G18" s="5"/>
      <c r="H18" s="5"/>
      <c r="J18" s="5"/>
    </row>
    <row r="19" spans="1:10" ht="12.5">
      <c r="A19" s="4">
        <v>352036</v>
      </c>
      <c r="B19" s="5" t="s">
        <v>19</v>
      </c>
      <c r="D19" s="8" t="s">
        <v>18</v>
      </c>
      <c r="E19" s="13" t="s">
        <v>44</v>
      </c>
      <c r="F19" s="5" t="s">
        <v>5</v>
      </c>
      <c r="G19" s="5"/>
      <c r="H19" s="5"/>
      <c r="I19" s="5"/>
    </row>
    <row r="20" spans="1:10" ht="12.5">
      <c r="A20" s="14">
        <v>7953</v>
      </c>
      <c r="B20" s="5" t="s">
        <v>15</v>
      </c>
      <c r="D20" s="6" t="s">
        <v>16</v>
      </c>
      <c r="E20" s="10" t="s">
        <v>45</v>
      </c>
      <c r="F20" s="5" t="s">
        <v>0</v>
      </c>
      <c r="G20" s="5">
        <v>2012</v>
      </c>
      <c r="H20" s="5">
        <v>2012</v>
      </c>
      <c r="I20" s="5" t="s">
        <v>46</v>
      </c>
    </row>
    <row r="21" spans="1:10" ht="12.5">
      <c r="A21" s="4">
        <v>357368</v>
      </c>
      <c r="B21" s="5" t="s">
        <v>19</v>
      </c>
      <c r="D21" s="8" t="s">
        <v>18</v>
      </c>
      <c r="E21" s="13" t="s">
        <v>47</v>
      </c>
      <c r="F21" s="5" t="s">
        <v>3</v>
      </c>
      <c r="G21" s="5"/>
      <c r="H21" s="5"/>
      <c r="I21" s="5"/>
    </row>
    <row r="22" spans="1:10" ht="12.5">
      <c r="A22" s="4">
        <v>368658</v>
      </c>
      <c r="B22" s="5" t="s">
        <v>19</v>
      </c>
      <c r="D22" s="8" t="s">
        <v>18</v>
      </c>
      <c r="E22" s="7" t="s">
        <v>48</v>
      </c>
      <c r="F22" s="5" t="s">
        <v>3</v>
      </c>
      <c r="G22" s="5"/>
      <c r="H22" s="5"/>
      <c r="J22" s="5"/>
    </row>
    <row r="23" spans="1:10" ht="12.5">
      <c r="A23" s="4">
        <v>373686</v>
      </c>
      <c r="B23" s="5" t="s">
        <v>19</v>
      </c>
      <c r="D23" s="8" t="s">
        <v>18</v>
      </c>
      <c r="E23" s="13" t="s">
        <v>49</v>
      </c>
      <c r="F23" s="5" t="s">
        <v>3</v>
      </c>
      <c r="G23" s="5"/>
      <c r="H23" s="5"/>
      <c r="J23" s="5"/>
    </row>
    <row r="24" spans="1:10" ht="12.5">
      <c r="A24" s="4">
        <v>385949</v>
      </c>
      <c r="B24" s="5" t="s">
        <v>19</v>
      </c>
      <c r="D24" s="8" t="s">
        <v>18</v>
      </c>
      <c r="E24" s="15" t="s">
        <v>50</v>
      </c>
      <c r="F24" s="5" t="s">
        <v>5</v>
      </c>
      <c r="G24" s="5"/>
      <c r="H24" s="5"/>
      <c r="I24" s="5"/>
    </row>
    <row r="25" spans="1:10" ht="12.5">
      <c r="A25" s="4">
        <v>386016</v>
      </c>
      <c r="B25" s="5" t="s">
        <v>19</v>
      </c>
      <c r="D25" s="8" t="s">
        <v>18</v>
      </c>
      <c r="E25" s="13" t="s">
        <v>51</v>
      </c>
      <c r="F25" s="5" t="s">
        <v>3</v>
      </c>
      <c r="G25" s="5"/>
      <c r="H25" s="5"/>
      <c r="I25" s="5"/>
    </row>
    <row r="26" spans="1:10" ht="12.5">
      <c r="A26" s="4">
        <v>388522</v>
      </c>
      <c r="B26" s="5" t="s">
        <v>19</v>
      </c>
      <c r="D26" s="8" t="s">
        <v>18</v>
      </c>
      <c r="E26" s="7" t="s">
        <v>52</v>
      </c>
      <c r="F26" s="5" t="s">
        <v>3</v>
      </c>
      <c r="G26" s="5"/>
      <c r="H26" s="5"/>
      <c r="I26" s="5"/>
    </row>
    <row r="27" spans="1:10" ht="12.5">
      <c r="A27" s="4">
        <v>389899</v>
      </c>
      <c r="B27" s="5" t="s">
        <v>19</v>
      </c>
      <c r="D27" s="8" t="s">
        <v>18</v>
      </c>
      <c r="E27" s="5" t="s">
        <v>53</v>
      </c>
      <c r="F27" s="5" t="s">
        <v>3</v>
      </c>
      <c r="G27" s="5"/>
      <c r="H27" s="5"/>
      <c r="I27" s="5"/>
    </row>
    <row r="28" spans="1:10" ht="12.5">
      <c r="A28" s="9">
        <v>127300</v>
      </c>
      <c r="B28" s="5" t="s">
        <v>19</v>
      </c>
      <c r="D28" s="8" t="s">
        <v>18</v>
      </c>
      <c r="E28" s="10" t="s">
        <v>54</v>
      </c>
      <c r="F28" s="5" t="s">
        <v>0</v>
      </c>
      <c r="G28" s="5">
        <v>2011</v>
      </c>
      <c r="H28" s="5">
        <v>2012</v>
      </c>
      <c r="I28" s="12" t="s">
        <v>25</v>
      </c>
    </row>
    <row r="29" spans="1:10" ht="12.5">
      <c r="A29" s="9">
        <v>8410</v>
      </c>
      <c r="B29" s="5" t="s">
        <v>15</v>
      </c>
      <c r="D29" s="6" t="s">
        <v>16</v>
      </c>
      <c r="E29" s="11" t="s">
        <v>55</v>
      </c>
      <c r="F29" s="5" t="s">
        <v>0</v>
      </c>
      <c r="G29" s="5">
        <v>2013</v>
      </c>
      <c r="H29" s="5">
        <v>2013</v>
      </c>
      <c r="I29" s="5" t="s">
        <v>56</v>
      </c>
    </row>
    <row r="30" spans="1:10" ht="12.5">
      <c r="A30" s="9">
        <v>8679</v>
      </c>
      <c r="B30" s="5" t="s">
        <v>15</v>
      </c>
      <c r="D30" s="6" t="s">
        <v>16</v>
      </c>
      <c r="E30" s="10" t="s">
        <v>57</v>
      </c>
      <c r="F30" s="5" t="s">
        <v>0</v>
      </c>
      <c r="G30" s="5">
        <v>2013</v>
      </c>
      <c r="H30" s="5">
        <v>2013</v>
      </c>
      <c r="I30" s="5" t="s">
        <v>21</v>
      </c>
    </row>
    <row r="31" spans="1:10" ht="12.5">
      <c r="A31" s="9">
        <v>9878</v>
      </c>
      <c r="B31" s="5" t="s">
        <v>15</v>
      </c>
      <c r="D31" s="6" t="s">
        <v>16</v>
      </c>
      <c r="E31" s="11" t="s">
        <v>58</v>
      </c>
      <c r="F31" s="5" t="s">
        <v>0</v>
      </c>
      <c r="G31" s="5">
        <v>2013</v>
      </c>
      <c r="H31" s="5">
        <v>2013</v>
      </c>
      <c r="I31" s="5" t="s">
        <v>21</v>
      </c>
    </row>
    <row r="32" spans="1:10" ht="12.5">
      <c r="A32" s="4">
        <v>409682</v>
      </c>
      <c r="B32" s="5" t="s">
        <v>19</v>
      </c>
      <c r="D32" s="8" t="s">
        <v>18</v>
      </c>
      <c r="E32" s="7" t="s">
        <v>59</v>
      </c>
      <c r="F32" s="5" t="s">
        <v>3</v>
      </c>
      <c r="G32" s="5"/>
      <c r="H32" s="5"/>
      <c r="J32" s="5"/>
    </row>
    <row r="33" spans="1:10" ht="12.5">
      <c r="A33" s="4">
        <v>410482</v>
      </c>
      <c r="B33" s="5" t="s">
        <v>19</v>
      </c>
      <c r="D33" s="8" t="s">
        <v>18</v>
      </c>
      <c r="E33" s="13" t="s">
        <v>60</v>
      </c>
      <c r="F33" s="5" t="s">
        <v>3</v>
      </c>
      <c r="G33" s="5"/>
      <c r="H33" s="5"/>
      <c r="I33" s="5"/>
    </row>
    <row r="34" spans="1:10" ht="12.5">
      <c r="A34" s="4">
        <v>429489</v>
      </c>
      <c r="B34" s="5" t="s">
        <v>19</v>
      </c>
      <c r="D34" s="8" t="s">
        <v>18</v>
      </c>
      <c r="E34" s="7" t="s">
        <v>61</v>
      </c>
      <c r="F34" s="5" t="s">
        <v>3</v>
      </c>
      <c r="G34" s="5"/>
      <c r="H34" s="5"/>
      <c r="J34" s="5"/>
    </row>
    <row r="35" spans="1:10" ht="12.5">
      <c r="A35" s="4">
        <v>429954</v>
      </c>
      <c r="B35" s="5" t="s">
        <v>19</v>
      </c>
      <c r="D35" s="8" t="s">
        <v>18</v>
      </c>
      <c r="E35" s="13" t="s">
        <v>62</v>
      </c>
      <c r="F35" s="5" t="s">
        <v>3</v>
      </c>
      <c r="G35" s="5"/>
      <c r="H35" s="5"/>
      <c r="I35" s="5"/>
    </row>
    <row r="36" spans="1:10" ht="12.5">
      <c r="A36" s="4">
        <v>433122</v>
      </c>
      <c r="B36" s="5" t="s">
        <v>19</v>
      </c>
      <c r="D36" s="8" t="s">
        <v>18</v>
      </c>
      <c r="E36" s="7" t="s">
        <v>63</v>
      </c>
      <c r="F36" s="5" t="s">
        <v>3</v>
      </c>
      <c r="G36" s="5"/>
      <c r="H36" s="5"/>
      <c r="I36" s="5"/>
    </row>
    <row r="37" spans="1:10" ht="12.5">
      <c r="A37" s="4">
        <v>441034</v>
      </c>
      <c r="B37" s="5" t="s">
        <v>19</v>
      </c>
      <c r="D37" s="8" t="s">
        <v>18</v>
      </c>
      <c r="E37" s="13" t="s">
        <v>64</v>
      </c>
      <c r="F37" s="5" t="s">
        <v>5</v>
      </c>
      <c r="G37" s="5"/>
      <c r="H37" s="5"/>
      <c r="I37" s="5"/>
    </row>
    <row r="38" spans="1:10" ht="12.5">
      <c r="A38" s="4">
        <v>455542</v>
      </c>
      <c r="B38" s="5" t="s">
        <v>19</v>
      </c>
      <c r="D38" s="8" t="s">
        <v>18</v>
      </c>
      <c r="E38" s="7" t="s">
        <v>65</v>
      </c>
      <c r="F38" s="5" t="s">
        <v>3</v>
      </c>
      <c r="G38" s="5"/>
      <c r="H38" s="5"/>
      <c r="I38" s="5"/>
    </row>
    <row r="39" spans="1:10" ht="12.5">
      <c r="A39" s="9">
        <v>231273</v>
      </c>
      <c r="B39" s="5" t="s">
        <v>19</v>
      </c>
      <c r="D39" s="8" t="s">
        <v>18</v>
      </c>
      <c r="E39" s="10" t="s">
        <v>66</v>
      </c>
      <c r="F39" s="5" t="s">
        <v>0</v>
      </c>
      <c r="G39" s="5">
        <v>2014</v>
      </c>
      <c r="H39" s="5">
        <v>2014</v>
      </c>
      <c r="I39" s="5" t="s">
        <v>21</v>
      </c>
    </row>
    <row r="40" spans="1:10" ht="12.5">
      <c r="A40" s="9">
        <v>234758</v>
      </c>
      <c r="B40" s="5" t="s">
        <v>19</v>
      </c>
      <c r="D40" s="8" t="s">
        <v>18</v>
      </c>
      <c r="E40" s="10" t="s">
        <v>67</v>
      </c>
      <c r="F40" s="5" t="s">
        <v>0</v>
      </c>
      <c r="G40" s="5">
        <v>2014</v>
      </c>
      <c r="H40" s="5">
        <v>2014</v>
      </c>
      <c r="I40" s="5" t="s">
        <v>21</v>
      </c>
    </row>
    <row r="41" spans="1:10" ht="12.5">
      <c r="A41" s="9">
        <v>240325</v>
      </c>
      <c r="B41" s="5" t="s">
        <v>19</v>
      </c>
      <c r="D41" s="8" t="s">
        <v>18</v>
      </c>
      <c r="E41" s="10" t="s">
        <v>68</v>
      </c>
      <c r="F41" s="5" t="s">
        <v>0</v>
      </c>
      <c r="G41" s="5">
        <v>2014</v>
      </c>
      <c r="H41" s="5">
        <v>2014</v>
      </c>
      <c r="I41" s="7" t="s">
        <v>69</v>
      </c>
    </row>
    <row r="42" spans="1:10" ht="12.5">
      <c r="A42" s="9">
        <v>11247</v>
      </c>
      <c r="B42" s="5" t="s">
        <v>15</v>
      </c>
      <c r="D42" s="6" t="s">
        <v>16</v>
      </c>
      <c r="E42" s="10" t="s">
        <v>70</v>
      </c>
      <c r="F42" s="5" t="s">
        <v>0</v>
      </c>
      <c r="G42" s="5">
        <v>2014</v>
      </c>
      <c r="H42" s="5">
        <v>2014</v>
      </c>
      <c r="I42" s="5" t="s">
        <v>21</v>
      </c>
    </row>
    <row r="43" spans="1:10" ht="12.5">
      <c r="A43" s="9">
        <v>239247</v>
      </c>
      <c r="B43" s="5" t="s">
        <v>19</v>
      </c>
      <c r="D43" s="8" t="s">
        <v>18</v>
      </c>
      <c r="E43" s="13" t="s">
        <v>71</v>
      </c>
      <c r="F43" s="5" t="s">
        <v>3</v>
      </c>
      <c r="G43" s="5"/>
      <c r="H43" s="5"/>
      <c r="I43" s="5"/>
    </row>
    <row r="44" spans="1:10" ht="12.5">
      <c r="A44" s="9">
        <v>12641</v>
      </c>
      <c r="B44" s="5" t="s">
        <v>15</v>
      </c>
      <c r="D44" s="6" t="s">
        <v>16</v>
      </c>
      <c r="E44" s="11" t="s">
        <v>72</v>
      </c>
      <c r="F44" s="5" t="s">
        <v>0</v>
      </c>
      <c r="G44" s="5">
        <v>2014</v>
      </c>
      <c r="H44" s="5">
        <v>2014</v>
      </c>
      <c r="I44" s="5" t="s">
        <v>73</v>
      </c>
    </row>
    <row r="45" spans="1:10" ht="12.5">
      <c r="A45" s="9">
        <v>247154</v>
      </c>
      <c r="B45" s="5" t="s">
        <v>19</v>
      </c>
      <c r="D45" s="8" t="s">
        <v>18</v>
      </c>
      <c r="E45" s="13" t="s">
        <v>74</v>
      </c>
      <c r="F45" s="5" t="s">
        <v>3</v>
      </c>
      <c r="G45" s="5"/>
      <c r="H45" s="5"/>
      <c r="I45" s="5"/>
    </row>
    <row r="46" spans="1:10" ht="12.5">
      <c r="A46" s="9">
        <v>255110</v>
      </c>
      <c r="B46" s="5" t="s">
        <v>19</v>
      </c>
      <c r="D46" s="8" t="s">
        <v>18</v>
      </c>
      <c r="E46" s="5" t="s">
        <v>75</v>
      </c>
      <c r="F46" s="5" t="s">
        <v>5</v>
      </c>
      <c r="G46" s="5"/>
      <c r="H46" s="5"/>
      <c r="I46" s="5"/>
    </row>
    <row r="47" spans="1:10" ht="12.5">
      <c r="A47" s="9">
        <v>256543</v>
      </c>
      <c r="B47" s="5" t="s">
        <v>19</v>
      </c>
      <c r="D47" s="8" t="s">
        <v>18</v>
      </c>
      <c r="E47" s="13" t="s">
        <v>76</v>
      </c>
      <c r="F47" s="5" t="s">
        <v>5</v>
      </c>
      <c r="G47" s="5"/>
      <c r="H47" s="5"/>
      <c r="I47" s="5"/>
    </row>
    <row r="48" spans="1:10" ht="12.5">
      <c r="A48" s="9">
        <v>300649</v>
      </c>
      <c r="B48" s="5" t="s">
        <v>19</v>
      </c>
      <c r="D48" s="8" t="s">
        <v>18</v>
      </c>
      <c r="E48" s="7" t="s">
        <v>77</v>
      </c>
      <c r="F48" s="5" t="s">
        <v>3</v>
      </c>
      <c r="G48" s="5"/>
      <c r="H48" s="5"/>
      <c r="I48" s="5"/>
    </row>
    <row r="49" spans="1:10" ht="12.5">
      <c r="A49" s="9">
        <v>310705</v>
      </c>
      <c r="B49" s="5" t="s">
        <v>19</v>
      </c>
      <c r="D49" s="8" t="s">
        <v>18</v>
      </c>
      <c r="E49" s="13" t="s">
        <v>78</v>
      </c>
      <c r="F49" s="5" t="s">
        <v>3</v>
      </c>
      <c r="G49" s="5"/>
      <c r="H49" s="5"/>
      <c r="I49" s="5"/>
    </row>
    <row r="50" spans="1:10" ht="12.5">
      <c r="A50" s="9">
        <v>14189</v>
      </c>
      <c r="B50" s="5" t="s">
        <v>15</v>
      </c>
      <c r="D50" s="6" t="s">
        <v>16</v>
      </c>
      <c r="E50" s="7" t="s">
        <v>79</v>
      </c>
      <c r="F50" s="5" t="s">
        <v>0</v>
      </c>
      <c r="G50" s="5">
        <v>2015</v>
      </c>
      <c r="H50" s="5">
        <v>2015</v>
      </c>
      <c r="I50" s="5" t="s">
        <v>80</v>
      </c>
    </row>
    <row r="51" spans="1:10" ht="12.5">
      <c r="A51" s="9">
        <v>228110</v>
      </c>
      <c r="B51" s="5" t="s">
        <v>19</v>
      </c>
      <c r="D51" s="8" t="s">
        <v>18</v>
      </c>
      <c r="E51" s="11" t="s">
        <v>81</v>
      </c>
      <c r="F51" s="5" t="s">
        <v>0</v>
      </c>
      <c r="G51" s="5">
        <v>2014</v>
      </c>
      <c r="H51" s="5">
        <v>2015</v>
      </c>
      <c r="I51" s="5" t="s">
        <v>21</v>
      </c>
    </row>
    <row r="52" spans="1:10" ht="12.5">
      <c r="A52" s="9">
        <v>340019</v>
      </c>
      <c r="B52" s="5" t="s">
        <v>19</v>
      </c>
      <c r="D52" s="8" t="s">
        <v>18</v>
      </c>
      <c r="E52" s="7" t="s">
        <v>82</v>
      </c>
      <c r="F52" s="5" t="s">
        <v>3</v>
      </c>
      <c r="G52" s="5"/>
      <c r="H52" s="5"/>
      <c r="I52" s="5"/>
    </row>
    <row r="53" spans="1:10" ht="12.5">
      <c r="A53" s="9">
        <v>232488</v>
      </c>
      <c r="B53" s="5" t="s">
        <v>19</v>
      </c>
      <c r="D53" s="8" t="s">
        <v>18</v>
      </c>
      <c r="E53" s="11" t="s">
        <v>83</v>
      </c>
      <c r="F53" s="5" t="s">
        <v>0</v>
      </c>
      <c r="G53" s="5">
        <v>2014</v>
      </c>
      <c r="H53" s="5">
        <v>2015</v>
      </c>
      <c r="I53" s="5" t="s">
        <v>21</v>
      </c>
    </row>
    <row r="54" spans="1:10" ht="12.5">
      <c r="A54" s="9">
        <v>315641</v>
      </c>
      <c r="B54" s="5" t="s">
        <v>19</v>
      </c>
      <c r="D54" s="8" t="s">
        <v>18</v>
      </c>
      <c r="E54" s="10" t="s">
        <v>84</v>
      </c>
      <c r="F54" s="5" t="s">
        <v>0</v>
      </c>
      <c r="G54" s="5">
        <v>2016</v>
      </c>
      <c r="H54" s="5">
        <v>2016</v>
      </c>
      <c r="I54" s="5" t="s">
        <v>21</v>
      </c>
    </row>
    <row r="55" spans="1:10" ht="12.5">
      <c r="A55" s="9">
        <v>22155</v>
      </c>
      <c r="B55" s="5" t="s">
        <v>15</v>
      </c>
      <c r="D55" s="6" t="s">
        <v>16</v>
      </c>
      <c r="E55" s="15" t="s">
        <v>85</v>
      </c>
      <c r="F55" s="5" t="s">
        <v>3</v>
      </c>
      <c r="G55" s="5"/>
      <c r="H55" s="5"/>
      <c r="I55" s="5"/>
    </row>
    <row r="56" spans="1:10" ht="12.5">
      <c r="A56" s="9">
        <v>22192</v>
      </c>
      <c r="B56" s="5" t="s">
        <v>15</v>
      </c>
      <c r="D56" s="6" t="s">
        <v>16</v>
      </c>
      <c r="E56" s="13" t="s">
        <v>86</v>
      </c>
      <c r="F56" s="5" t="s">
        <v>3</v>
      </c>
      <c r="G56" s="5"/>
      <c r="H56" s="5"/>
      <c r="I56" s="5"/>
    </row>
    <row r="57" spans="1:10" ht="12.5">
      <c r="A57" s="9">
        <v>22800</v>
      </c>
      <c r="B57" s="5" t="s">
        <v>15</v>
      </c>
      <c r="D57" s="6" t="s">
        <v>16</v>
      </c>
      <c r="E57" s="7" t="s">
        <v>87</v>
      </c>
      <c r="F57" s="5" t="s">
        <v>3</v>
      </c>
      <c r="G57" s="5"/>
      <c r="H57" s="5"/>
      <c r="J57" s="5"/>
    </row>
    <row r="58" spans="1:10" ht="12.5">
      <c r="A58" s="9">
        <v>323107</v>
      </c>
      <c r="B58" s="5" t="s">
        <v>19</v>
      </c>
      <c r="D58" s="8" t="s">
        <v>18</v>
      </c>
      <c r="E58" s="13" t="s">
        <v>88</v>
      </c>
      <c r="F58" s="5" t="s">
        <v>0</v>
      </c>
      <c r="G58" s="5">
        <v>2016</v>
      </c>
      <c r="H58" s="5">
        <v>2016</v>
      </c>
      <c r="I58" s="12" t="s">
        <v>89</v>
      </c>
    </row>
    <row r="59" spans="1:10" ht="12.5">
      <c r="A59" s="9">
        <v>24685</v>
      </c>
      <c r="B59" s="5" t="s">
        <v>15</v>
      </c>
      <c r="D59" s="6" t="s">
        <v>16</v>
      </c>
      <c r="E59" s="7" t="s">
        <v>90</v>
      </c>
      <c r="F59" s="5" t="s">
        <v>3</v>
      </c>
      <c r="G59" s="5"/>
      <c r="H59" s="5"/>
      <c r="J59" s="5"/>
    </row>
    <row r="60" spans="1:10" ht="12.5">
      <c r="A60" s="9">
        <v>24909</v>
      </c>
      <c r="B60" s="5" t="s">
        <v>15</v>
      </c>
      <c r="D60" s="6" t="s">
        <v>16</v>
      </c>
      <c r="E60" s="13" t="s">
        <v>91</v>
      </c>
      <c r="F60" s="5" t="s">
        <v>3</v>
      </c>
      <c r="G60" s="5"/>
      <c r="H60" s="5"/>
      <c r="I60" s="5"/>
    </row>
    <row r="61" spans="1:10" ht="12.5">
      <c r="A61" s="9">
        <v>18301</v>
      </c>
      <c r="B61" s="5" t="s">
        <v>15</v>
      </c>
      <c r="D61" s="6" t="s">
        <v>16</v>
      </c>
      <c r="E61" s="13" t="s">
        <v>92</v>
      </c>
      <c r="F61" s="5" t="s">
        <v>0</v>
      </c>
      <c r="G61" s="5">
        <v>2016</v>
      </c>
      <c r="H61" s="5">
        <v>2016</v>
      </c>
      <c r="I61" s="5" t="s">
        <v>93</v>
      </c>
    </row>
    <row r="62" spans="1:10" ht="12.5">
      <c r="A62" s="9">
        <v>25469</v>
      </c>
      <c r="B62" s="5" t="s">
        <v>15</v>
      </c>
      <c r="D62" s="6" t="s">
        <v>16</v>
      </c>
      <c r="E62" s="13" t="s">
        <v>94</v>
      </c>
      <c r="F62" s="5" t="s">
        <v>3</v>
      </c>
      <c r="G62" s="5"/>
      <c r="H62" s="5"/>
      <c r="J62" s="5"/>
    </row>
    <row r="63" spans="1:10" ht="12.5">
      <c r="A63" s="9">
        <v>354302</v>
      </c>
      <c r="B63" s="5" t="s">
        <v>19</v>
      </c>
      <c r="D63" s="8" t="s">
        <v>18</v>
      </c>
      <c r="E63" s="10" t="s">
        <v>95</v>
      </c>
      <c r="F63" s="5" t="s">
        <v>0</v>
      </c>
      <c r="G63" s="5">
        <v>2017</v>
      </c>
      <c r="H63" s="5">
        <v>2017</v>
      </c>
      <c r="I63" s="5" t="s">
        <v>96</v>
      </c>
    </row>
    <row r="64" spans="1:10" ht="12.5">
      <c r="A64" s="9">
        <v>340712</v>
      </c>
      <c r="B64" s="5" t="s">
        <v>19</v>
      </c>
      <c r="D64" s="8" t="s">
        <v>18</v>
      </c>
      <c r="E64" s="8" t="s">
        <v>97</v>
      </c>
      <c r="F64" s="5" t="s">
        <v>0</v>
      </c>
      <c r="G64" s="5">
        <v>2017</v>
      </c>
      <c r="H64" s="5">
        <v>2017</v>
      </c>
      <c r="I64" s="12" t="s">
        <v>98</v>
      </c>
    </row>
    <row r="65" spans="1:10" ht="12.5">
      <c r="A65" s="9">
        <v>25729</v>
      </c>
      <c r="B65" s="5" t="s">
        <v>15</v>
      </c>
      <c r="D65" s="6" t="s">
        <v>16</v>
      </c>
      <c r="E65" s="7" t="s">
        <v>99</v>
      </c>
      <c r="F65" s="5" t="s">
        <v>5</v>
      </c>
      <c r="G65" s="5"/>
      <c r="H65" s="5"/>
      <c r="I65" s="5"/>
    </row>
    <row r="66" spans="1:10" ht="12.5">
      <c r="A66" s="9">
        <v>22001</v>
      </c>
      <c r="B66" s="5" t="s">
        <v>15</v>
      </c>
      <c r="D66" s="6" t="s">
        <v>16</v>
      </c>
      <c r="E66" s="11" t="s">
        <v>100</v>
      </c>
      <c r="F66" s="5" t="s">
        <v>0</v>
      </c>
      <c r="G66" s="5">
        <v>2017</v>
      </c>
      <c r="H66" s="5">
        <v>2017</v>
      </c>
      <c r="I66" s="5" t="s">
        <v>21</v>
      </c>
    </row>
    <row r="67" spans="1:10" ht="12.5">
      <c r="A67" s="9">
        <v>25875</v>
      </c>
      <c r="B67" s="5" t="s">
        <v>15</v>
      </c>
      <c r="D67" s="6" t="s">
        <v>16</v>
      </c>
      <c r="E67" s="7" t="s">
        <v>101</v>
      </c>
      <c r="F67" s="5" t="s">
        <v>3</v>
      </c>
      <c r="G67" s="5"/>
      <c r="H67" s="5"/>
      <c r="J67" s="5"/>
    </row>
    <row r="68" spans="1:10" ht="12.5">
      <c r="A68" s="9">
        <v>26339</v>
      </c>
      <c r="B68" s="5" t="s">
        <v>15</v>
      </c>
      <c r="D68" s="6" t="s">
        <v>16</v>
      </c>
      <c r="E68" s="13" t="s">
        <v>102</v>
      </c>
      <c r="F68" s="5" t="s">
        <v>3</v>
      </c>
      <c r="G68" s="5"/>
      <c r="H68" s="5"/>
      <c r="I68" s="5"/>
    </row>
    <row r="69" spans="1:10" ht="12.5">
      <c r="A69" s="9">
        <v>20827</v>
      </c>
      <c r="B69" s="5" t="s">
        <v>15</v>
      </c>
      <c r="D69" s="6" t="s">
        <v>16</v>
      </c>
      <c r="E69" s="13" t="s">
        <v>103</v>
      </c>
      <c r="F69" s="5" t="s">
        <v>0</v>
      </c>
      <c r="G69" s="5">
        <v>2017</v>
      </c>
      <c r="H69" s="5">
        <v>2017</v>
      </c>
      <c r="I69" s="5" t="s">
        <v>21</v>
      </c>
    </row>
    <row r="70" spans="1:10" ht="12.5">
      <c r="A70" s="9">
        <v>142779</v>
      </c>
      <c r="B70" s="5" t="s">
        <v>19</v>
      </c>
      <c r="D70" s="8" t="s">
        <v>18</v>
      </c>
      <c r="E70" s="13" t="s">
        <v>104</v>
      </c>
      <c r="F70" s="5" t="s">
        <v>3</v>
      </c>
      <c r="G70" s="5"/>
      <c r="H70" s="5"/>
      <c r="I70" s="5"/>
    </row>
    <row r="71" spans="1:10" ht="12.5">
      <c r="A71" s="9">
        <v>23855</v>
      </c>
      <c r="B71" s="5" t="s">
        <v>15</v>
      </c>
      <c r="D71" s="6" t="s">
        <v>16</v>
      </c>
      <c r="E71" s="11" t="s">
        <v>105</v>
      </c>
      <c r="F71" s="5" t="s">
        <v>0</v>
      </c>
      <c r="G71" s="5">
        <v>2018</v>
      </c>
      <c r="H71" s="5">
        <v>2018</v>
      </c>
      <c r="I71" s="5" t="s">
        <v>21</v>
      </c>
    </row>
    <row r="72" spans="1:10" ht="12.5">
      <c r="A72" s="9">
        <v>156771</v>
      </c>
      <c r="B72" s="5" t="s">
        <v>19</v>
      </c>
      <c r="D72" s="8" t="s">
        <v>18</v>
      </c>
      <c r="E72" s="13" t="s">
        <v>106</v>
      </c>
      <c r="F72" s="5" t="s">
        <v>3</v>
      </c>
      <c r="G72" s="5"/>
      <c r="H72" s="5"/>
      <c r="I72" s="5"/>
    </row>
    <row r="73" spans="1:10" ht="12.5">
      <c r="A73" s="9">
        <v>158044</v>
      </c>
      <c r="B73" s="5" t="s">
        <v>19</v>
      </c>
      <c r="D73" s="8" t="s">
        <v>18</v>
      </c>
      <c r="E73" s="7" t="s">
        <v>107</v>
      </c>
      <c r="F73" s="5" t="s">
        <v>3</v>
      </c>
      <c r="G73" s="5"/>
      <c r="H73" s="5"/>
      <c r="I73" s="5"/>
    </row>
    <row r="74" spans="1:10" ht="12.5">
      <c r="A74" s="9">
        <v>162786</v>
      </c>
      <c r="B74" s="5" t="s">
        <v>19</v>
      </c>
      <c r="D74" s="8" t="s">
        <v>18</v>
      </c>
      <c r="E74" s="13" t="s">
        <v>108</v>
      </c>
      <c r="F74" s="5" t="s">
        <v>3</v>
      </c>
      <c r="G74" s="5"/>
      <c r="H74" s="5"/>
      <c r="I74" s="5"/>
      <c r="J74" s="5" t="s">
        <v>109</v>
      </c>
    </row>
    <row r="75" spans="1:10" ht="12.5">
      <c r="A75" s="9">
        <v>166235</v>
      </c>
      <c r="B75" s="5" t="s">
        <v>19</v>
      </c>
      <c r="D75" s="8" t="s">
        <v>18</v>
      </c>
      <c r="E75" s="7" t="s">
        <v>110</v>
      </c>
      <c r="F75" s="5" t="s">
        <v>5</v>
      </c>
      <c r="G75" s="5"/>
      <c r="H75" s="5"/>
      <c r="I75" s="5"/>
    </row>
    <row r="76" spans="1:10" ht="12.5">
      <c r="A76" s="9">
        <v>176089</v>
      </c>
      <c r="B76" s="5" t="s">
        <v>19</v>
      </c>
      <c r="D76" s="8" t="s">
        <v>18</v>
      </c>
      <c r="E76" s="13" t="s">
        <v>111</v>
      </c>
      <c r="F76" s="5" t="s">
        <v>5</v>
      </c>
      <c r="G76" s="5"/>
      <c r="H76" s="5"/>
      <c r="I76" s="5"/>
    </row>
    <row r="77" spans="1:10" ht="12.5">
      <c r="A77" s="9">
        <v>188059</v>
      </c>
      <c r="B77" s="5" t="s">
        <v>19</v>
      </c>
      <c r="D77" s="8" t="s">
        <v>18</v>
      </c>
      <c r="E77" s="7" t="s">
        <v>112</v>
      </c>
      <c r="F77" s="5" t="s">
        <v>3</v>
      </c>
      <c r="G77" s="5"/>
      <c r="H77" s="5"/>
      <c r="I77" s="5"/>
    </row>
    <row r="78" spans="1:10" ht="12.5">
      <c r="A78" s="9">
        <v>194026</v>
      </c>
      <c r="B78" s="5" t="s">
        <v>19</v>
      </c>
      <c r="D78" s="8" t="s">
        <v>18</v>
      </c>
      <c r="E78" s="13" t="s">
        <v>113</v>
      </c>
      <c r="F78" s="5" t="s">
        <v>3</v>
      </c>
      <c r="G78" s="5"/>
      <c r="H78" s="5"/>
      <c r="I78" s="5"/>
    </row>
    <row r="79" spans="1:10" ht="12.5">
      <c r="A79" s="9">
        <v>25196</v>
      </c>
      <c r="B79" s="5" t="s">
        <v>15</v>
      </c>
      <c r="D79" s="6" t="s">
        <v>16</v>
      </c>
      <c r="E79" s="10" t="s">
        <v>114</v>
      </c>
      <c r="F79" s="5" t="s">
        <v>0</v>
      </c>
      <c r="G79" s="5">
        <v>2018</v>
      </c>
      <c r="H79" s="5">
        <v>2018</v>
      </c>
      <c r="I79" s="12" t="s">
        <v>115</v>
      </c>
    </row>
    <row r="80" spans="1:10" ht="12.5">
      <c r="A80" s="9">
        <v>200645</v>
      </c>
      <c r="B80" s="5" t="s">
        <v>19</v>
      </c>
      <c r="D80" s="8" t="s">
        <v>18</v>
      </c>
      <c r="E80" s="13" t="s">
        <v>116</v>
      </c>
      <c r="F80" s="5" t="s">
        <v>3</v>
      </c>
      <c r="G80" s="5"/>
      <c r="H80" s="5"/>
      <c r="J80" s="5"/>
    </row>
    <row r="81" spans="1:10" ht="12.5">
      <c r="A81" s="9">
        <v>203523</v>
      </c>
      <c r="B81" s="5" t="s">
        <v>19</v>
      </c>
      <c r="D81" s="8" t="s">
        <v>18</v>
      </c>
      <c r="E81" s="7" t="s">
        <v>117</v>
      </c>
      <c r="F81" s="5" t="s">
        <v>5</v>
      </c>
      <c r="G81" s="5"/>
      <c r="H81" s="5"/>
      <c r="I81" s="5"/>
    </row>
    <row r="82" spans="1:10" ht="12.5">
      <c r="A82" s="9">
        <v>204904</v>
      </c>
      <c r="B82" s="5" t="s">
        <v>19</v>
      </c>
      <c r="D82" s="8" t="s">
        <v>18</v>
      </c>
      <c r="E82" s="13" t="s">
        <v>118</v>
      </c>
      <c r="F82" s="5" t="s">
        <v>3</v>
      </c>
      <c r="G82" s="5"/>
      <c r="H82" s="5"/>
      <c r="I82" s="5"/>
    </row>
    <row r="83" spans="1:10" ht="12.5">
      <c r="A83" s="9">
        <v>216560</v>
      </c>
      <c r="B83" s="5" t="s">
        <v>19</v>
      </c>
      <c r="D83" s="8" t="s">
        <v>18</v>
      </c>
      <c r="E83" s="7" t="s">
        <v>119</v>
      </c>
      <c r="F83" s="5" t="s">
        <v>3</v>
      </c>
      <c r="G83" s="5"/>
      <c r="H83" s="5"/>
      <c r="I83" s="5"/>
    </row>
    <row r="84" spans="1:10" ht="12.5">
      <c r="A84" s="9">
        <v>9914</v>
      </c>
      <c r="B84" s="5" t="s">
        <v>15</v>
      </c>
      <c r="D84" s="6" t="s">
        <v>16</v>
      </c>
      <c r="E84" s="7" t="s">
        <v>120</v>
      </c>
      <c r="F84" s="5" t="s">
        <v>3</v>
      </c>
      <c r="G84" s="5"/>
      <c r="H84" s="5"/>
      <c r="I84" s="5"/>
      <c r="J84" s="5"/>
    </row>
    <row r="85" spans="1:10" ht="12.5">
      <c r="A85" s="9">
        <v>10026</v>
      </c>
      <c r="B85" s="5" t="s">
        <v>15</v>
      </c>
      <c r="D85" s="6" t="s">
        <v>16</v>
      </c>
      <c r="E85" s="13" t="s">
        <v>121</v>
      </c>
      <c r="F85" s="5" t="s">
        <v>4</v>
      </c>
      <c r="G85" s="5"/>
      <c r="H85" s="5"/>
      <c r="I85" s="5"/>
    </row>
    <row r="86" spans="1:10" ht="12.5">
      <c r="A86" s="9">
        <v>26673</v>
      </c>
      <c r="B86" s="5" t="s">
        <v>15</v>
      </c>
      <c r="D86" s="6" t="s">
        <v>16</v>
      </c>
      <c r="E86" s="13" t="s">
        <v>122</v>
      </c>
      <c r="F86" s="5" t="s">
        <v>0</v>
      </c>
      <c r="G86" s="5">
        <v>2019</v>
      </c>
      <c r="H86" s="5">
        <v>2019</v>
      </c>
      <c r="I86" s="5" t="s">
        <v>21</v>
      </c>
    </row>
    <row r="87" spans="1:10" ht="12.5">
      <c r="A87" s="9">
        <v>27494</v>
      </c>
      <c r="B87" s="5" t="s">
        <v>15</v>
      </c>
      <c r="D87" s="6" t="s">
        <v>16</v>
      </c>
      <c r="E87" s="11" t="s">
        <v>123</v>
      </c>
      <c r="F87" s="5" t="s">
        <v>0</v>
      </c>
      <c r="G87" s="5">
        <v>2019</v>
      </c>
      <c r="H87" s="5">
        <v>2019</v>
      </c>
      <c r="I87" s="5" t="s">
        <v>21</v>
      </c>
    </row>
    <row r="88" spans="1:10" ht="12.5">
      <c r="A88" s="9">
        <v>392860</v>
      </c>
      <c r="B88" s="5" t="s">
        <v>19</v>
      </c>
      <c r="D88" s="8" t="s">
        <v>18</v>
      </c>
      <c r="E88" s="7" t="s">
        <v>124</v>
      </c>
      <c r="F88" s="5" t="s">
        <v>0</v>
      </c>
      <c r="G88" s="5">
        <v>2019</v>
      </c>
      <c r="H88" s="5">
        <v>2019</v>
      </c>
      <c r="I88" s="12" t="s">
        <v>125</v>
      </c>
    </row>
    <row r="89" spans="1:10" ht="12.5">
      <c r="A89" s="9">
        <v>14229</v>
      </c>
      <c r="B89" s="5" t="s">
        <v>15</v>
      </c>
      <c r="D89" s="6" t="s">
        <v>16</v>
      </c>
      <c r="E89" s="13" t="s">
        <v>126</v>
      </c>
      <c r="F89" s="5" t="s">
        <v>3</v>
      </c>
      <c r="G89" s="5"/>
      <c r="H89" s="5"/>
      <c r="J89" s="5"/>
    </row>
    <row r="90" spans="1:10" ht="12.5">
      <c r="A90" s="9">
        <v>14921</v>
      </c>
      <c r="B90" s="5" t="s">
        <v>15</v>
      </c>
      <c r="D90" s="6" t="s">
        <v>16</v>
      </c>
      <c r="E90" s="7" t="s">
        <v>127</v>
      </c>
      <c r="F90" s="5" t="s">
        <v>5</v>
      </c>
      <c r="G90" s="5"/>
      <c r="H90" s="5"/>
      <c r="I90" s="5"/>
    </row>
    <row r="91" spans="1:10" ht="12.5">
      <c r="A91" s="9">
        <v>17588</v>
      </c>
      <c r="B91" s="5" t="s">
        <v>15</v>
      </c>
      <c r="D91" s="6" t="s">
        <v>16</v>
      </c>
      <c r="E91" s="13" t="s">
        <v>128</v>
      </c>
      <c r="F91" s="5" t="s">
        <v>3</v>
      </c>
      <c r="G91" s="5"/>
      <c r="H91" s="5"/>
      <c r="J91" s="5"/>
    </row>
    <row r="92" spans="1:10" ht="12.5">
      <c r="A92" s="9">
        <v>17835</v>
      </c>
      <c r="B92" s="5" t="s">
        <v>15</v>
      </c>
      <c r="D92" s="6" t="s">
        <v>16</v>
      </c>
      <c r="E92" s="7" t="s">
        <v>129</v>
      </c>
      <c r="F92" s="5" t="s">
        <v>5</v>
      </c>
      <c r="G92" s="5"/>
      <c r="H92" s="5"/>
      <c r="I92" s="5"/>
    </row>
    <row r="93" spans="1:10" ht="12.5">
      <c r="A93" s="9">
        <v>396625</v>
      </c>
      <c r="B93" s="5" t="s">
        <v>19</v>
      </c>
      <c r="D93" s="8" t="s">
        <v>18</v>
      </c>
      <c r="E93" s="13" t="s">
        <v>130</v>
      </c>
      <c r="F93" s="5" t="s">
        <v>0</v>
      </c>
      <c r="G93" s="5">
        <v>2019</v>
      </c>
      <c r="H93" s="5">
        <v>2019</v>
      </c>
      <c r="I93" s="5" t="s">
        <v>21</v>
      </c>
    </row>
    <row r="94" spans="1:10" ht="12.5">
      <c r="A94" s="9">
        <v>18484</v>
      </c>
      <c r="B94" s="5" t="s">
        <v>15</v>
      </c>
      <c r="D94" s="6" t="s">
        <v>16</v>
      </c>
      <c r="E94" s="7" t="s">
        <v>131</v>
      </c>
      <c r="F94" s="5" t="s">
        <v>3</v>
      </c>
      <c r="G94" s="5"/>
      <c r="H94" s="5"/>
      <c r="J94" s="5"/>
    </row>
    <row r="95" spans="1:10" ht="12.5">
      <c r="A95" s="9">
        <v>20765</v>
      </c>
      <c r="B95" s="5" t="s">
        <v>15</v>
      </c>
      <c r="D95" s="6" t="s">
        <v>16</v>
      </c>
      <c r="E95" s="13" t="s">
        <v>132</v>
      </c>
      <c r="F95" s="5" t="s">
        <v>3</v>
      </c>
      <c r="G95" s="5"/>
      <c r="H95" s="5"/>
      <c r="I95" s="5"/>
    </row>
    <row r="96" spans="1:10" ht="12.5">
      <c r="A96" s="9">
        <v>20782</v>
      </c>
      <c r="B96" s="5" t="s">
        <v>15</v>
      </c>
      <c r="D96" s="6" t="s">
        <v>16</v>
      </c>
      <c r="E96" s="7" t="s">
        <v>133</v>
      </c>
      <c r="F96" s="5" t="s">
        <v>3</v>
      </c>
      <c r="G96" s="5"/>
      <c r="H96" s="5"/>
      <c r="J96" s="5"/>
    </row>
    <row r="97" spans="1:10" ht="12.5">
      <c r="A97" s="9">
        <v>398317</v>
      </c>
      <c r="B97" s="5" t="s">
        <v>19</v>
      </c>
      <c r="D97" s="8" t="s">
        <v>18</v>
      </c>
      <c r="E97" s="10" t="s">
        <v>134</v>
      </c>
      <c r="F97" s="5" t="s">
        <v>0</v>
      </c>
      <c r="G97" s="5">
        <v>2019</v>
      </c>
      <c r="H97" s="5">
        <v>2019</v>
      </c>
      <c r="I97" s="5" t="s">
        <v>21</v>
      </c>
    </row>
    <row r="98" spans="1:10" ht="12.5">
      <c r="A98" s="9">
        <v>21219</v>
      </c>
      <c r="B98" s="5" t="s">
        <v>15</v>
      </c>
      <c r="D98" s="6" t="s">
        <v>16</v>
      </c>
      <c r="E98" s="7" t="s">
        <v>135</v>
      </c>
      <c r="F98" s="5" t="s">
        <v>3</v>
      </c>
      <c r="G98" s="5"/>
      <c r="H98" s="5"/>
      <c r="I98" s="5"/>
    </row>
    <row r="99" spans="1:10" ht="12.5">
      <c r="A99" s="9">
        <v>86974</v>
      </c>
      <c r="B99" s="5" t="s">
        <v>19</v>
      </c>
      <c r="D99" s="8" t="s">
        <v>18</v>
      </c>
      <c r="E99" s="13" t="s">
        <v>136</v>
      </c>
      <c r="F99" s="5" t="s">
        <v>3</v>
      </c>
      <c r="G99" s="5"/>
      <c r="H99" s="5"/>
      <c r="I99" s="5"/>
    </row>
    <row r="100" spans="1:10" ht="12.5">
      <c r="A100" s="9">
        <v>106966</v>
      </c>
      <c r="B100" s="5" t="s">
        <v>19</v>
      </c>
      <c r="D100" s="8" t="s">
        <v>18</v>
      </c>
      <c r="E100" s="7" t="s">
        <v>137</v>
      </c>
      <c r="F100" s="5" t="s">
        <v>3</v>
      </c>
      <c r="G100" s="5"/>
      <c r="H100" s="5"/>
      <c r="I100" s="5"/>
    </row>
    <row r="101" spans="1:10" ht="12.5">
      <c r="A101" s="9">
        <v>108204</v>
      </c>
      <c r="B101" s="5" t="s">
        <v>19</v>
      </c>
      <c r="D101" s="8" t="s">
        <v>18</v>
      </c>
      <c r="E101" s="13" t="s">
        <v>138</v>
      </c>
      <c r="F101" s="5" t="s">
        <v>3</v>
      </c>
      <c r="G101" s="5"/>
      <c r="H101" s="5"/>
      <c r="I101" s="5"/>
    </row>
    <row r="102" spans="1:10" ht="12.5">
      <c r="A102" s="9">
        <v>25637</v>
      </c>
      <c r="B102" s="5" t="s">
        <v>15</v>
      </c>
      <c r="D102" s="6" t="s">
        <v>16</v>
      </c>
      <c r="E102" s="7" t="s">
        <v>139</v>
      </c>
      <c r="F102" s="5" t="s">
        <v>0</v>
      </c>
      <c r="G102" s="5">
        <v>2019</v>
      </c>
      <c r="H102" s="5">
        <v>2019</v>
      </c>
      <c r="I102" s="5" t="s">
        <v>140</v>
      </c>
    </row>
    <row r="103" spans="1:10" ht="12.5">
      <c r="A103" s="9">
        <v>25714</v>
      </c>
      <c r="B103" s="5" t="s">
        <v>15</v>
      </c>
      <c r="D103" s="6" t="s">
        <v>16</v>
      </c>
      <c r="E103" s="11" t="s">
        <v>141</v>
      </c>
      <c r="F103" s="5" t="s">
        <v>0</v>
      </c>
      <c r="G103" s="5">
        <v>2019</v>
      </c>
      <c r="H103" s="5">
        <v>2019</v>
      </c>
      <c r="I103" s="7" t="s">
        <v>142</v>
      </c>
    </row>
    <row r="104" spans="1:10" ht="12.5">
      <c r="A104" s="9">
        <v>8185</v>
      </c>
      <c r="B104" s="5" t="s">
        <v>15</v>
      </c>
      <c r="D104" s="6" t="s">
        <v>16</v>
      </c>
      <c r="E104" s="13" t="s">
        <v>143</v>
      </c>
      <c r="F104" s="5" t="s">
        <v>3</v>
      </c>
      <c r="G104" s="5"/>
      <c r="H104" s="5"/>
      <c r="J104" s="5"/>
    </row>
    <row r="105" spans="1:10" ht="12.5">
      <c r="A105" s="9">
        <v>8286</v>
      </c>
      <c r="B105" s="5" t="s">
        <v>15</v>
      </c>
      <c r="D105" s="6" t="s">
        <v>16</v>
      </c>
      <c r="E105" s="7" t="s">
        <v>144</v>
      </c>
      <c r="F105" s="5" t="s">
        <v>3</v>
      </c>
      <c r="G105" s="5"/>
      <c r="H105" s="5"/>
      <c r="J105" s="5"/>
    </row>
    <row r="106" spans="1:10" ht="12.5">
      <c r="A106" s="9">
        <v>25744</v>
      </c>
      <c r="B106" s="5" t="s">
        <v>15</v>
      </c>
      <c r="D106" s="6" t="s">
        <v>16</v>
      </c>
      <c r="E106" s="11" t="s">
        <v>145</v>
      </c>
      <c r="F106" s="5" t="s">
        <v>0</v>
      </c>
      <c r="G106" s="5">
        <v>2019</v>
      </c>
      <c r="H106" s="5">
        <v>2019</v>
      </c>
      <c r="I106" s="5" t="s">
        <v>146</v>
      </c>
    </row>
    <row r="107" spans="1:10" ht="12.5">
      <c r="A107" s="9">
        <v>30061</v>
      </c>
      <c r="B107" s="5" t="s">
        <v>15</v>
      </c>
      <c r="D107" s="6" t="s">
        <v>16</v>
      </c>
      <c r="E107" s="11" t="s">
        <v>147</v>
      </c>
      <c r="F107" s="5" t="s">
        <v>0</v>
      </c>
      <c r="G107" s="5">
        <v>2020</v>
      </c>
      <c r="H107" s="5">
        <v>2020</v>
      </c>
      <c r="I107" s="5" t="s">
        <v>146</v>
      </c>
    </row>
    <row r="108" spans="1:10" ht="12.5">
      <c r="A108" s="9">
        <v>403583</v>
      </c>
      <c r="B108" s="5" t="s">
        <v>19</v>
      </c>
      <c r="D108" s="8" t="s">
        <v>18</v>
      </c>
      <c r="E108" s="11" t="s">
        <v>148</v>
      </c>
      <c r="F108" s="5" t="s">
        <v>0</v>
      </c>
      <c r="G108" s="5">
        <v>2020</v>
      </c>
      <c r="H108" s="5">
        <v>2020</v>
      </c>
      <c r="I108" s="12" t="s">
        <v>149</v>
      </c>
    </row>
    <row r="109" spans="1:10" ht="12.5">
      <c r="A109" s="9">
        <v>31614</v>
      </c>
      <c r="B109" s="5" t="s">
        <v>15</v>
      </c>
      <c r="D109" s="6" t="s">
        <v>16</v>
      </c>
      <c r="E109" s="10" t="s">
        <v>150</v>
      </c>
      <c r="F109" s="5" t="s">
        <v>0</v>
      </c>
      <c r="G109" s="5">
        <v>2021</v>
      </c>
      <c r="H109" s="5">
        <v>2021</v>
      </c>
      <c r="I109" s="5" t="s">
        <v>21</v>
      </c>
    </row>
    <row r="110" spans="1:10" ht="12.5">
      <c r="A110" s="9">
        <v>76191</v>
      </c>
      <c r="B110" s="5" t="s">
        <v>19</v>
      </c>
      <c r="D110" s="8" t="s">
        <v>18</v>
      </c>
      <c r="E110" s="13" t="s">
        <v>151</v>
      </c>
      <c r="F110" s="5" t="s">
        <v>3</v>
      </c>
      <c r="G110" s="5"/>
      <c r="H110" s="5"/>
      <c r="I110" s="5"/>
    </row>
    <row r="111" spans="1:10" ht="12.5">
      <c r="A111" s="9">
        <v>82429</v>
      </c>
      <c r="B111" s="5" t="s">
        <v>19</v>
      </c>
      <c r="D111" s="8" t="s">
        <v>18</v>
      </c>
      <c r="E111" s="7" t="s">
        <v>152</v>
      </c>
      <c r="F111" s="5" t="s">
        <v>3</v>
      </c>
      <c r="G111" s="5"/>
      <c r="H111" s="5"/>
      <c r="I111" s="5"/>
    </row>
    <row r="112" spans="1:10" ht="12.5">
      <c r="A112" s="9">
        <v>31666</v>
      </c>
      <c r="B112" s="5" t="s">
        <v>15</v>
      </c>
      <c r="D112" s="6" t="s">
        <v>16</v>
      </c>
      <c r="E112" s="11" t="s">
        <v>153</v>
      </c>
      <c r="F112" s="5" t="s">
        <v>0</v>
      </c>
      <c r="G112" s="5">
        <v>2021</v>
      </c>
      <c r="H112" s="5">
        <v>2021</v>
      </c>
      <c r="I112" s="5" t="s">
        <v>21</v>
      </c>
      <c r="J112" s="5"/>
    </row>
    <row r="113" spans="1:10" ht="12.5">
      <c r="A113" s="9">
        <v>28211</v>
      </c>
      <c r="B113" s="5" t="s">
        <v>33</v>
      </c>
      <c r="D113" s="6" t="s">
        <v>23</v>
      </c>
      <c r="E113" s="13" t="s">
        <v>154</v>
      </c>
      <c r="F113" s="5" t="s">
        <v>3</v>
      </c>
      <c r="G113" s="5"/>
      <c r="H113" s="5"/>
      <c r="I113" s="5"/>
      <c r="J113" s="5" t="s">
        <v>40</v>
      </c>
    </row>
    <row r="114" spans="1:10" ht="12.5">
      <c r="A114" s="9">
        <v>38429</v>
      </c>
      <c r="B114" s="5" t="s">
        <v>33</v>
      </c>
      <c r="D114" s="6" t="s">
        <v>23</v>
      </c>
      <c r="E114" s="7" t="s">
        <v>155</v>
      </c>
      <c r="F114" s="5" t="s">
        <v>3</v>
      </c>
      <c r="G114" s="5"/>
      <c r="H114" s="5"/>
      <c r="I114" s="5"/>
      <c r="J114" s="5" t="s">
        <v>40</v>
      </c>
    </row>
    <row r="115" spans="1:10" ht="12.5">
      <c r="A115" s="9">
        <v>194180</v>
      </c>
      <c r="B115" s="5" t="s">
        <v>19</v>
      </c>
      <c r="D115" s="8" t="s">
        <v>18</v>
      </c>
      <c r="E115" s="10" t="s">
        <v>156</v>
      </c>
      <c r="F115" s="5" t="s">
        <v>0</v>
      </c>
      <c r="G115" s="5">
        <v>2013</v>
      </c>
      <c r="H115" s="5">
        <v>2021</v>
      </c>
      <c r="I115" s="12" t="s">
        <v>157</v>
      </c>
    </row>
    <row r="116" spans="1:10" ht="12.5">
      <c r="A116" s="14">
        <v>5376</v>
      </c>
      <c r="B116" s="5" t="s">
        <v>15</v>
      </c>
      <c r="D116" s="6" t="s">
        <v>16</v>
      </c>
      <c r="E116" s="13" t="s">
        <v>158</v>
      </c>
      <c r="F116" s="5" t="s">
        <v>3</v>
      </c>
      <c r="G116" s="5"/>
      <c r="H116" s="5"/>
      <c r="I116" s="5"/>
      <c r="J116" s="5" t="s">
        <v>40</v>
      </c>
    </row>
    <row r="117" spans="1:10" ht="12.5">
      <c r="A117" s="9">
        <v>34041</v>
      </c>
      <c r="B117" s="5" t="s">
        <v>15</v>
      </c>
      <c r="D117" s="6" t="s">
        <v>16</v>
      </c>
      <c r="E117" s="10" t="s">
        <v>159</v>
      </c>
      <c r="F117" s="5" t="s">
        <v>0</v>
      </c>
      <c r="G117" s="5">
        <v>2022</v>
      </c>
      <c r="H117" s="5">
        <v>2022</v>
      </c>
      <c r="I117" s="5" t="s">
        <v>21</v>
      </c>
    </row>
  </sheetData>
  <autoFilter ref="A1:I117" xr:uid="{00000000-0009-0000-0000-000001000000}"/>
  <dataValidations count="3">
    <dataValidation type="list" allowBlank="1" showErrorMessage="1" sqref="F2:I2 F3 F4:H4 F5 F6:H8 F117 F9:F12 F14:F20 F21:H27 F43:H43 F44 F45:H49 F50:F51 F52:H52 F28:F42 F53:F64 F65:H65 G62:H62 F70:H70 F71 F72:H78 F66:F69 F98:H101 F79:F97 F110:H111 F112 F113:H114 F115 F116:H116 G10:H11 G15:H19 G32:H38 G55:H57 G59:H60 G67:H68 G80:H85 G89:H92 G94:H96 G104:H105 F102:F109" xr:uid="{00000000-0002-0000-0100-000000000000}">
      <formula1>"CA: Discussão apta para análise (discussão que aborda problemas com user stories),CE1: Discussão Incompleta: sem resposta ou tem somente uma resposta cujo o autor é o mesmo da pergunta,CE2: Score igual ou menor que zero,CE3: Discussão que NÃO aborda probl"&amp;"emas com user stories,CE4: Discussão em um contexto fora da indústria (empresa, equipe, projeto para indústria),CE5: Discussão que NÃO aborda um problema real relacionado à utilização de user stories."</formula1>
    </dataValidation>
    <dataValidation type="list" allowBlank="1" showErrorMessage="1" sqref="F13" xr:uid="{00000000-0002-0000-0100-000001000000}">
      <formula1>"CA: Discussão apta para análise (discussão que aborda problemas com user stories),CE1: Discussão Incompleta,CE2: Score negativo,CE3: Discussão que NÃO aborda problemas com user stories,CE4: Discussão em um contexto fora da indústria (empresa, equipe, proj"&amp;"eto para indústria),CE5: Discussão que NÃO aborda um problema real relacionado à utilização de user stories.,Não Analisado"</formula1>
    </dataValidation>
    <dataValidation type="list" allowBlank="1" showErrorMessage="1" sqref="G3:H3 G5:H5 G9:H9 G12:H14 G20:H20 G28:H31 G39:H42 G44:H44 G50:H51 G53:H54 G58:H58 G61:H61 G63:H64 G66:H66 G69:H69 G71:H71 G79:H79 G86:H88 G93:H93 G97:H97 G102:H103 G106:H109 G112:H112 G115:H115 G117:H117" xr:uid="{00000000-0002-0000-0100-000002000000}">
      <formula1>"2011,2012,2013,2014,2015,2016,2017,2018,2019,2020,2021,2022,2023,2024"</formula1>
    </dataValidation>
  </dataValidations>
  <hyperlinks>
    <hyperlink ref="D2" r:id="rId1" xr:uid="{00000000-0004-0000-0100-000000000000}"/>
    <hyperlink ref="D3" r:id="rId2" xr:uid="{00000000-0004-0000-0100-000002000000}"/>
    <hyperlink ref="E3" r:id="rId3" xr:uid="{00000000-0004-0000-0100-000003000000}"/>
    <hyperlink ref="D4" r:id="rId4" xr:uid="{00000000-0004-0000-0100-000005000000}"/>
    <hyperlink ref="D5" r:id="rId5" xr:uid="{00000000-0004-0000-0100-000007000000}"/>
    <hyperlink ref="E5" r:id="rId6" xr:uid="{00000000-0004-0000-0100-000008000000}"/>
    <hyperlink ref="D6" r:id="rId7" xr:uid="{00000000-0004-0000-0100-000009000000}"/>
    <hyperlink ref="D7" r:id="rId8" xr:uid="{00000000-0004-0000-0100-00000A000000}"/>
    <hyperlink ref="D8" r:id="rId9" xr:uid="{00000000-0004-0000-0100-00000B000000}"/>
    <hyperlink ref="D9" r:id="rId10" xr:uid="{00000000-0004-0000-0100-00000C000000}"/>
    <hyperlink ref="E9" r:id="rId11" xr:uid="{00000000-0004-0000-0100-00000D000000}"/>
    <hyperlink ref="D10" r:id="rId12" xr:uid="{00000000-0004-0000-0100-00000E000000}"/>
    <hyperlink ref="D11" r:id="rId13" xr:uid="{00000000-0004-0000-0100-00000F000000}"/>
    <hyperlink ref="D12" r:id="rId14" xr:uid="{00000000-0004-0000-0100-000010000000}"/>
    <hyperlink ref="D13" r:id="rId15" xr:uid="{00000000-0004-0000-0100-000011000000}"/>
    <hyperlink ref="E13" r:id="rId16" xr:uid="{00000000-0004-0000-0100-000012000000}"/>
    <hyperlink ref="D14" r:id="rId17" xr:uid="{00000000-0004-0000-0100-000013000000}"/>
    <hyperlink ref="E14" r:id="rId18" xr:uid="{00000000-0004-0000-0100-000014000000}"/>
    <hyperlink ref="D15" r:id="rId19" xr:uid="{00000000-0004-0000-0100-000015000000}"/>
    <hyperlink ref="D16" r:id="rId20" xr:uid="{00000000-0004-0000-0100-000016000000}"/>
    <hyperlink ref="D17" r:id="rId21" xr:uid="{00000000-0004-0000-0100-000017000000}"/>
    <hyperlink ref="D18" r:id="rId22" xr:uid="{00000000-0004-0000-0100-000018000000}"/>
    <hyperlink ref="D19" r:id="rId23" xr:uid="{00000000-0004-0000-0100-000019000000}"/>
    <hyperlink ref="D20" r:id="rId24" xr:uid="{00000000-0004-0000-0100-00001A000000}"/>
    <hyperlink ref="E20" r:id="rId25" xr:uid="{00000000-0004-0000-0100-00001B000000}"/>
    <hyperlink ref="D21" r:id="rId26" xr:uid="{00000000-0004-0000-0100-00001C000000}"/>
    <hyperlink ref="D22" r:id="rId27" xr:uid="{00000000-0004-0000-0100-00001D000000}"/>
    <hyperlink ref="D23" r:id="rId28" xr:uid="{00000000-0004-0000-0100-00001E000000}"/>
    <hyperlink ref="D24" r:id="rId29" xr:uid="{00000000-0004-0000-0100-00001F000000}"/>
    <hyperlink ref="D25" r:id="rId30" xr:uid="{00000000-0004-0000-0100-000020000000}"/>
    <hyperlink ref="D26" r:id="rId31" xr:uid="{00000000-0004-0000-0100-000021000000}"/>
    <hyperlink ref="D27" r:id="rId32" xr:uid="{00000000-0004-0000-0100-000022000000}"/>
    <hyperlink ref="D28" r:id="rId33" xr:uid="{00000000-0004-0000-0100-000023000000}"/>
    <hyperlink ref="E28" r:id="rId34" xr:uid="{00000000-0004-0000-0100-000024000000}"/>
    <hyperlink ref="D29" r:id="rId35" xr:uid="{00000000-0004-0000-0100-000025000000}"/>
    <hyperlink ref="E29" r:id="rId36" xr:uid="{00000000-0004-0000-0100-000026000000}"/>
    <hyperlink ref="D30" r:id="rId37" xr:uid="{00000000-0004-0000-0100-000027000000}"/>
    <hyperlink ref="E30" r:id="rId38" xr:uid="{00000000-0004-0000-0100-000028000000}"/>
    <hyperlink ref="D31" r:id="rId39" xr:uid="{00000000-0004-0000-0100-000029000000}"/>
    <hyperlink ref="E31" r:id="rId40" xr:uid="{00000000-0004-0000-0100-00002A000000}"/>
    <hyperlink ref="D32" r:id="rId41" xr:uid="{00000000-0004-0000-0100-00002B000000}"/>
    <hyperlink ref="D33" r:id="rId42" xr:uid="{00000000-0004-0000-0100-00002C000000}"/>
    <hyperlink ref="D34" r:id="rId43" xr:uid="{00000000-0004-0000-0100-00002D000000}"/>
    <hyperlink ref="D35" r:id="rId44" xr:uid="{00000000-0004-0000-0100-00002E000000}"/>
    <hyperlink ref="D36" r:id="rId45" xr:uid="{00000000-0004-0000-0100-00002F000000}"/>
    <hyperlink ref="D37" r:id="rId46" xr:uid="{00000000-0004-0000-0100-000030000000}"/>
    <hyperlink ref="D38" r:id="rId47" xr:uid="{00000000-0004-0000-0100-000031000000}"/>
    <hyperlink ref="D39" r:id="rId48" xr:uid="{00000000-0004-0000-0100-000032000000}"/>
    <hyperlink ref="E39" r:id="rId49" xr:uid="{00000000-0004-0000-0100-000033000000}"/>
    <hyperlink ref="D40" r:id="rId50" xr:uid="{00000000-0004-0000-0100-000034000000}"/>
    <hyperlink ref="E40" r:id="rId51" xr:uid="{00000000-0004-0000-0100-000035000000}"/>
    <hyperlink ref="D41" r:id="rId52" xr:uid="{00000000-0004-0000-0100-000036000000}"/>
    <hyperlink ref="E41" r:id="rId53" xr:uid="{00000000-0004-0000-0100-000037000000}"/>
    <hyperlink ref="D42" r:id="rId54" xr:uid="{00000000-0004-0000-0100-000038000000}"/>
    <hyperlink ref="E42" r:id="rId55" xr:uid="{00000000-0004-0000-0100-000039000000}"/>
    <hyperlink ref="D43" r:id="rId56" xr:uid="{00000000-0004-0000-0100-00003A000000}"/>
    <hyperlink ref="D44" r:id="rId57" xr:uid="{00000000-0004-0000-0100-00003B000000}"/>
    <hyperlink ref="E44" r:id="rId58" xr:uid="{00000000-0004-0000-0100-00003C000000}"/>
    <hyperlink ref="D45" r:id="rId59" xr:uid="{00000000-0004-0000-0100-00003D000000}"/>
    <hyperlink ref="D46" r:id="rId60" xr:uid="{00000000-0004-0000-0100-00003E000000}"/>
    <hyperlink ref="D47" r:id="rId61" xr:uid="{00000000-0004-0000-0100-00003F000000}"/>
    <hyperlink ref="D48" r:id="rId62" xr:uid="{00000000-0004-0000-0100-000040000000}"/>
    <hyperlink ref="D49" r:id="rId63" xr:uid="{00000000-0004-0000-0100-000041000000}"/>
    <hyperlink ref="D50" r:id="rId64" xr:uid="{00000000-0004-0000-0100-000042000000}"/>
    <hyperlink ref="D51" r:id="rId65" xr:uid="{00000000-0004-0000-0100-000043000000}"/>
    <hyperlink ref="E51" r:id="rId66" xr:uid="{00000000-0004-0000-0100-000044000000}"/>
    <hyperlink ref="D52" r:id="rId67" xr:uid="{00000000-0004-0000-0100-000045000000}"/>
    <hyperlink ref="D53" r:id="rId68" xr:uid="{00000000-0004-0000-0100-000046000000}"/>
    <hyperlink ref="E53" r:id="rId69" xr:uid="{00000000-0004-0000-0100-000047000000}"/>
    <hyperlink ref="D54" r:id="rId70" xr:uid="{00000000-0004-0000-0100-000048000000}"/>
    <hyperlink ref="E54" r:id="rId71" xr:uid="{00000000-0004-0000-0100-000049000000}"/>
    <hyperlink ref="D55" r:id="rId72" xr:uid="{00000000-0004-0000-0100-00004A000000}"/>
    <hyperlink ref="D56" r:id="rId73" xr:uid="{00000000-0004-0000-0100-00004B000000}"/>
    <hyperlink ref="D57" r:id="rId74" xr:uid="{00000000-0004-0000-0100-00004C000000}"/>
    <hyperlink ref="D58" r:id="rId75" xr:uid="{00000000-0004-0000-0100-00004D000000}"/>
    <hyperlink ref="D59" r:id="rId76" xr:uid="{00000000-0004-0000-0100-00004E000000}"/>
    <hyperlink ref="D60" r:id="rId77" xr:uid="{00000000-0004-0000-0100-00004F000000}"/>
    <hyperlink ref="D61" r:id="rId78" xr:uid="{00000000-0004-0000-0100-000050000000}"/>
    <hyperlink ref="D62" r:id="rId79" xr:uid="{00000000-0004-0000-0100-000051000000}"/>
    <hyperlink ref="D63" r:id="rId80" xr:uid="{00000000-0004-0000-0100-000052000000}"/>
    <hyperlink ref="E63" r:id="rId81" xr:uid="{00000000-0004-0000-0100-000053000000}"/>
    <hyperlink ref="D64" r:id="rId82" xr:uid="{00000000-0004-0000-0100-000054000000}"/>
    <hyperlink ref="E64" r:id="rId83" xr:uid="{00000000-0004-0000-0100-000055000000}"/>
    <hyperlink ref="D65" r:id="rId84" xr:uid="{00000000-0004-0000-0100-000056000000}"/>
    <hyperlink ref="D66" r:id="rId85" xr:uid="{00000000-0004-0000-0100-000057000000}"/>
    <hyperlink ref="E66" r:id="rId86" xr:uid="{00000000-0004-0000-0100-000058000000}"/>
    <hyperlink ref="D67" r:id="rId87" xr:uid="{00000000-0004-0000-0100-000059000000}"/>
    <hyperlink ref="D68" r:id="rId88" xr:uid="{00000000-0004-0000-0100-00005A000000}"/>
    <hyperlink ref="D69" r:id="rId89" xr:uid="{00000000-0004-0000-0100-00005B000000}"/>
    <hyperlink ref="D70" r:id="rId90" xr:uid="{00000000-0004-0000-0100-00005C000000}"/>
    <hyperlink ref="D71" r:id="rId91" xr:uid="{00000000-0004-0000-0100-00005D000000}"/>
    <hyperlink ref="E71" r:id="rId92" xr:uid="{00000000-0004-0000-0100-00005E000000}"/>
    <hyperlink ref="D72" r:id="rId93" xr:uid="{00000000-0004-0000-0100-00005F000000}"/>
    <hyperlink ref="D73" r:id="rId94" xr:uid="{00000000-0004-0000-0100-000060000000}"/>
    <hyperlink ref="D74" r:id="rId95" xr:uid="{00000000-0004-0000-0100-000061000000}"/>
    <hyperlink ref="D75" r:id="rId96" xr:uid="{00000000-0004-0000-0100-000062000000}"/>
    <hyperlink ref="D76" r:id="rId97" xr:uid="{00000000-0004-0000-0100-000063000000}"/>
    <hyperlink ref="D77" r:id="rId98" xr:uid="{00000000-0004-0000-0100-000064000000}"/>
    <hyperlink ref="D78" r:id="rId99" xr:uid="{00000000-0004-0000-0100-000065000000}"/>
    <hyperlink ref="D79" r:id="rId100" xr:uid="{00000000-0004-0000-0100-000066000000}"/>
    <hyperlink ref="E79" r:id="rId101" xr:uid="{00000000-0004-0000-0100-000067000000}"/>
    <hyperlink ref="D80" r:id="rId102" xr:uid="{00000000-0004-0000-0100-000068000000}"/>
    <hyperlink ref="D81" r:id="rId103" xr:uid="{00000000-0004-0000-0100-000069000000}"/>
    <hyperlink ref="D82" r:id="rId104" xr:uid="{00000000-0004-0000-0100-00006A000000}"/>
    <hyperlink ref="D83" r:id="rId105" xr:uid="{00000000-0004-0000-0100-00006B000000}"/>
    <hyperlink ref="D84" r:id="rId106" xr:uid="{00000000-0004-0000-0100-00006C000000}"/>
    <hyperlink ref="D85" r:id="rId107" xr:uid="{00000000-0004-0000-0100-00006D000000}"/>
    <hyperlink ref="D86" r:id="rId108" xr:uid="{00000000-0004-0000-0100-00006E000000}"/>
    <hyperlink ref="D87" r:id="rId109" xr:uid="{00000000-0004-0000-0100-00006F000000}"/>
    <hyperlink ref="E87" r:id="rId110" xr:uid="{00000000-0004-0000-0100-000070000000}"/>
    <hyperlink ref="D88" r:id="rId111" xr:uid="{00000000-0004-0000-0100-000071000000}"/>
    <hyperlink ref="D89" r:id="rId112" xr:uid="{00000000-0004-0000-0100-000072000000}"/>
    <hyperlink ref="D90" r:id="rId113" xr:uid="{00000000-0004-0000-0100-000073000000}"/>
    <hyperlink ref="D91" r:id="rId114" xr:uid="{00000000-0004-0000-0100-000074000000}"/>
    <hyperlink ref="D92" r:id="rId115" xr:uid="{00000000-0004-0000-0100-000075000000}"/>
    <hyperlink ref="D93" r:id="rId116" xr:uid="{00000000-0004-0000-0100-000076000000}"/>
    <hyperlink ref="D94" r:id="rId117" xr:uid="{00000000-0004-0000-0100-000077000000}"/>
    <hyperlink ref="D95" r:id="rId118" xr:uid="{00000000-0004-0000-0100-000078000000}"/>
    <hyperlink ref="D96" r:id="rId119" xr:uid="{00000000-0004-0000-0100-000079000000}"/>
    <hyperlink ref="D97" r:id="rId120" xr:uid="{00000000-0004-0000-0100-00007A000000}"/>
    <hyperlink ref="E97" r:id="rId121" xr:uid="{00000000-0004-0000-0100-00007B000000}"/>
    <hyperlink ref="D98" r:id="rId122" xr:uid="{00000000-0004-0000-0100-00007C000000}"/>
    <hyperlink ref="D99" r:id="rId123" xr:uid="{00000000-0004-0000-0100-00007D000000}"/>
    <hyperlink ref="D100" r:id="rId124" xr:uid="{00000000-0004-0000-0100-00007E000000}"/>
    <hyperlink ref="D101" r:id="rId125" xr:uid="{00000000-0004-0000-0100-00007F000000}"/>
    <hyperlink ref="D102" r:id="rId126" xr:uid="{00000000-0004-0000-0100-000080000000}"/>
    <hyperlink ref="D103" r:id="rId127" xr:uid="{00000000-0004-0000-0100-000081000000}"/>
    <hyperlink ref="E103" r:id="rId128" xr:uid="{00000000-0004-0000-0100-000082000000}"/>
    <hyperlink ref="D104" r:id="rId129" xr:uid="{00000000-0004-0000-0100-000083000000}"/>
    <hyperlink ref="D105" r:id="rId130" xr:uid="{00000000-0004-0000-0100-000084000000}"/>
    <hyperlink ref="D106" r:id="rId131" xr:uid="{00000000-0004-0000-0100-000085000000}"/>
    <hyperlink ref="E106" r:id="rId132" xr:uid="{00000000-0004-0000-0100-000086000000}"/>
    <hyperlink ref="D107" r:id="rId133" xr:uid="{00000000-0004-0000-0100-000087000000}"/>
    <hyperlink ref="E107" r:id="rId134" xr:uid="{00000000-0004-0000-0100-000088000000}"/>
    <hyperlink ref="D108" r:id="rId135" xr:uid="{00000000-0004-0000-0100-000089000000}"/>
    <hyperlink ref="E108" r:id="rId136" xr:uid="{00000000-0004-0000-0100-00008A000000}"/>
    <hyperlink ref="D109" r:id="rId137" xr:uid="{00000000-0004-0000-0100-00008B000000}"/>
    <hyperlink ref="E109" r:id="rId138" xr:uid="{00000000-0004-0000-0100-00008C000000}"/>
    <hyperlink ref="D110" r:id="rId139" xr:uid="{00000000-0004-0000-0100-00008D000000}"/>
    <hyperlink ref="D111" r:id="rId140" xr:uid="{00000000-0004-0000-0100-00008E000000}"/>
    <hyperlink ref="D112" r:id="rId141" xr:uid="{00000000-0004-0000-0100-00008F000000}"/>
    <hyperlink ref="E112" r:id="rId142" xr:uid="{00000000-0004-0000-0100-000090000000}"/>
    <hyperlink ref="D113" r:id="rId143" xr:uid="{00000000-0004-0000-0100-000091000000}"/>
    <hyperlink ref="D114" r:id="rId144" xr:uid="{00000000-0004-0000-0100-000092000000}"/>
    <hyperlink ref="D115" r:id="rId145" xr:uid="{00000000-0004-0000-0100-000093000000}"/>
    <hyperlink ref="E115" r:id="rId146" xr:uid="{00000000-0004-0000-0100-000094000000}"/>
    <hyperlink ref="D116" r:id="rId147" xr:uid="{00000000-0004-0000-0100-000095000000}"/>
    <hyperlink ref="D117" r:id="rId148" xr:uid="{00000000-0004-0000-0100-000096000000}"/>
    <hyperlink ref="E117" r:id="rId149" xr:uid="{00000000-0004-0000-0100-00009700000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117"/>
  <sheetViews>
    <sheetView topLeftCell="E71" workbookViewId="0">
      <selection activeCell="D12" sqref="D12"/>
    </sheetView>
  </sheetViews>
  <sheetFormatPr defaultColWidth="12.6328125" defaultRowHeight="15.75" customHeight="1"/>
  <cols>
    <col min="1" max="1" width="6.453125" customWidth="1"/>
    <col min="2" max="2" width="29.36328125" customWidth="1"/>
    <col min="3" max="3" width="11.6328125" customWidth="1"/>
    <col min="4" max="4" width="44.26953125" customWidth="1"/>
    <col min="5" max="5" width="58.26953125" customWidth="1"/>
    <col min="6" max="6" width="17.08984375" customWidth="1"/>
    <col min="7" max="7" width="16.26953125" customWidth="1"/>
    <col min="8" max="8" width="19.7265625" customWidth="1"/>
  </cols>
  <sheetData>
    <row r="1" spans="1:9">
      <c r="A1" s="17" t="s">
        <v>6</v>
      </c>
      <c r="B1" s="17" t="s">
        <v>7</v>
      </c>
      <c r="C1" s="17" t="s">
        <v>8</v>
      </c>
      <c r="D1" s="17" t="s">
        <v>9</v>
      </c>
      <c r="E1" s="17" t="s">
        <v>10</v>
      </c>
      <c r="F1" s="17" t="s">
        <v>480</v>
      </c>
      <c r="G1" s="17" t="s">
        <v>481</v>
      </c>
      <c r="H1" s="5" t="s">
        <v>482</v>
      </c>
    </row>
    <row r="2" spans="1:9" ht="15.75" customHeight="1">
      <c r="A2" s="18">
        <v>7953</v>
      </c>
      <c r="B2" s="19" t="s">
        <v>15</v>
      </c>
      <c r="C2" s="19"/>
      <c r="D2" s="20" t="s">
        <v>477</v>
      </c>
      <c r="E2" s="21" t="s">
        <v>45</v>
      </c>
      <c r="F2" s="19" t="s">
        <v>0</v>
      </c>
      <c r="G2" s="19" t="s">
        <v>0</v>
      </c>
      <c r="H2" s="19" t="s">
        <v>438</v>
      </c>
    </row>
    <row r="3" spans="1:9" ht="15.75" customHeight="1">
      <c r="A3" s="18">
        <v>5376</v>
      </c>
      <c r="B3" s="19" t="s">
        <v>15</v>
      </c>
      <c r="C3" s="19"/>
      <c r="D3" s="20" t="s">
        <v>477</v>
      </c>
      <c r="E3" s="22" t="s">
        <v>483</v>
      </c>
      <c r="F3" s="19" t="s">
        <v>5</v>
      </c>
      <c r="G3" s="19" t="s">
        <v>3</v>
      </c>
      <c r="H3" s="19" t="s">
        <v>438</v>
      </c>
    </row>
    <row r="4" spans="1:9">
      <c r="A4" s="18">
        <v>3017</v>
      </c>
      <c r="B4" s="19" t="s">
        <v>15</v>
      </c>
      <c r="C4" s="19"/>
      <c r="D4" s="20" t="s">
        <v>477</v>
      </c>
      <c r="E4" s="22" t="s">
        <v>484</v>
      </c>
      <c r="F4" s="19" t="s">
        <v>0</v>
      </c>
      <c r="G4" s="19" t="s">
        <v>3</v>
      </c>
      <c r="H4" s="23" t="s">
        <v>0</v>
      </c>
    </row>
    <row r="5" spans="1:9" ht="15.75" customHeight="1">
      <c r="A5" s="18">
        <v>82429</v>
      </c>
      <c r="B5" s="19" t="s">
        <v>19</v>
      </c>
      <c r="C5" s="19"/>
      <c r="D5" s="20" t="s">
        <v>478</v>
      </c>
      <c r="E5" s="22" t="s">
        <v>485</v>
      </c>
      <c r="F5" s="19" t="s">
        <v>3</v>
      </c>
      <c r="G5" s="19" t="s">
        <v>3</v>
      </c>
      <c r="H5" s="19" t="s">
        <v>438</v>
      </c>
      <c r="I5" s="5"/>
    </row>
    <row r="6" spans="1:9" ht="15.75" customHeight="1">
      <c r="A6" s="18">
        <v>76191</v>
      </c>
      <c r="B6" s="19" t="s">
        <v>19</v>
      </c>
      <c r="C6" s="19"/>
      <c r="D6" s="20" t="s">
        <v>478</v>
      </c>
      <c r="E6" s="22" t="s">
        <v>486</v>
      </c>
      <c r="F6" s="19" t="s">
        <v>3</v>
      </c>
      <c r="G6" s="19" t="s">
        <v>3</v>
      </c>
      <c r="H6" s="19" t="s">
        <v>438</v>
      </c>
    </row>
    <row r="7" spans="1:9" ht="15.75" customHeight="1">
      <c r="A7" s="18">
        <v>41750</v>
      </c>
      <c r="B7" s="19" t="s">
        <v>19</v>
      </c>
      <c r="C7" s="19"/>
      <c r="D7" s="20" t="s">
        <v>478</v>
      </c>
      <c r="E7" s="21" t="s">
        <v>29</v>
      </c>
      <c r="F7" s="19" t="s">
        <v>0</v>
      </c>
      <c r="G7" s="19" t="s">
        <v>3</v>
      </c>
      <c r="H7" s="19" t="s">
        <v>0</v>
      </c>
    </row>
    <row r="8" spans="1:9" ht="15.75" customHeight="1">
      <c r="A8" s="18">
        <v>38429</v>
      </c>
      <c r="B8" s="19" t="s">
        <v>33</v>
      </c>
      <c r="C8" s="19"/>
      <c r="D8" s="20" t="s">
        <v>479</v>
      </c>
      <c r="E8" s="21" t="s">
        <v>151</v>
      </c>
      <c r="F8" s="19" t="s">
        <v>5</v>
      </c>
      <c r="G8" s="19" t="s">
        <v>3</v>
      </c>
      <c r="H8" s="19" t="s">
        <v>438</v>
      </c>
    </row>
    <row r="9" spans="1:9" ht="15.75" customHeight="1">
      <c r="A9" s="18">
        <v>28211</v>
      </c>
      <c r="B9" s="19" t="s">
        <v>33</v>
      </c>
      <c r="C9" s="19"/>
      <c r="D9" s="20" t="s">
        <v>479</v>
      </c>
      <c r="E9" s="22" t="s">
        <v>487</v>
      </c>
      <c r="F9" s="19" t="s">
        <v>5</v>
      </c>
      <c r="G9" s="19" t="s">
        <v>3</v>
      </c>
      <c r="H9" s="19" t="s">
        <v>438</v>
      </c>
    </row>
    <row r="10" spans="1:9" ht="15.75" customHeight="1">
      <c r="A10" s="18">
        <v>560</v>
      </c>
      <c r="B10" s="19" t="s">
        <v>33</v>
      </c>
      <c r="C10" s="19"/>
      <c r="D10" s="20" t="s">
        <v>479</v>
      </c>
      <c r="E10" s="22" t="s">
        <v>488</v>
      </c>
      <c r="F10" s="19" t="s">
        <v>0</v>
      </c>
      <c r="G10" s="19" t="s">
        <v>5</v>
      </c>
      <c r="H10" s="19" t="s">
        <v>0</v>
      </c>
    </row>
    <row r="11" spans="1:9" ht="15.75" customHeight="1">
      <c r="A11" s="24">
        <v>8185</v>
      </c>
      <c r="B11" s="25" t="s">
        <v>15</v>
      </c>
      <c r="C11" s="25"/>
      <c r="D11" s="26" t="s">
        <v>16</v>
      </c>
      <c r="E11" s="27" t="s">
        <v>143</v>
      </c>
      <c r="F11" s="25" t="s">
        <v>5</v>
      </c>
      <c r="G11" s="25" t="s">
        <v>3</v>
      </c>
      <c r="H11" s="25" t="s">
        <v>438</v>
      </c>
    </row>
    <row r="12" spans="1:9" ht="15.75" customHeight="1">
      <c r="A12" s="24">
        <v>8286</v>
      </c>
      <c r="B12" s="25" t="s">
        <v>15</v>
      </c>
      <c r="C12" s="25"/>
      <c r="D12" s="26" t="s">
        <v>16</v>
      </c>
      <c r="E12" s="27" t="s">
        <v>144</v>
      </c>
      <c r="F12" s="25" t="s">
        <v>3</v>
      </c>
      <c r="G12" s="25" t="s">
        <v>5</v>
      </c>
      <c r="H12" s="25" t="s">
        <v>438</v>
      </c>
    </row>
    <row r="13" spans="1:9" ht="15.75" customHeight="1">
      <c r="A13" s="24">
        <v>8410</v>
      </c>
      <c r="B13" s="25" t="s">
        <v>15</v>
      </c>
      <c r="C13" s="25"/>
      <c r="D13" s="26" t="s">
        <v>16</v>
      </c>
      <c r="E13" s="27" t="s">
        <v>55</v>
      </c>
      <c r="F13" s="25" t="s">
        <v>0</v>
      </c>
      <c r="G13" s="25" t="s">
        <v>0</v>
      </c>
      <c r="H13" s="25" t="s">
        <v>438</v>
      </c>
    </row>
    <row r="14" spans="1:9" ht="15.75" customHeight="1">
      <c r="A14" s="24">
        <v>8679</v>
      </c>
      <c r="B14" s="25" t="s">
        <v>15</v>
      </c>
      <c r="C14" s="25"/>
      <c r="D14" s="28" t="s">
        <v>489</v>
      </c>
      <c r="E14" s="29" t="s">
        <v>57</v>
      </c>
      <c r="F14" s="25" t="s">
        <v>0</v>
      </c>
      <c r="G14" s="25" t="s">
        <v>0</v>
      </c>
      <c r="H14" s="25" t="s">
        <v>438</v>
      </c>
    </row>
    <row r="15" spans="1:9" ht="15.75" customHeight="1">
      <c r="A15" s="24">
        <v>9878</v>
      </c>
      <c r="B15" s="25" t="s">
        <v>15</v>
      </c>
      <c r="C15" s="25"/>
      <c r="D15" s="26" t="s">
        <v>16</v>
      </c>
      <c r="E15" s="27" t="s">
        <v>58</v>
      </c>
      <c r="F15" s="25" t="s">
        <v>0</v>
      </c>
      <c r="G15" s="25" t="s">
        <v>0</v>
      </c>
      <c r="H15" s="25" t="s">
        <v>438</v>
      </c>
    </row>
    <row r="16" spans="1:9" ht="15.75" customHeight="1">
      <c r="A16" s="24">
        <v>86974</v>
      </c>
      <c r="B16" s="25" t="s">
        <v>19</v>
      </c>
      <c r="C16" s="25"/>
      <c r="D16" s="28" t="s">
        <v>18</v>
      </c>
      <c r="E16" s="27" t="s">
        <v>136</v>
      </c>
      <c r="F16" s="25" t="s">
        <v>3</v>
      </c>
      <c r="G16" s="25" t="s">
        <v>3</v>
      </c>
      <c r="H16" s="25" t="s">
        <v>438</v>
      </c>
    </row>
    <row r="17" spans="1:8" ht="15.75" customHeight="1">
      <c r="A17" s="24">
        <v>106966</v>
      </c>
      <c r="B17" s="25" t="s">
        <v>19</v>
      </c>
      <c r="C17" s="25"/>
      <c r="D17" s="28" t="s">
        <v>18</v>
      </c>
      <c r="E17" s="27" t="s">
        <v>137</v>
      </c>
      <c r="F17" s="25" t="s">
        <v>3</v>
      </c>
      <c r="G17" s="25" t="s">
        <v>3</v>
      </c>
      <c r="H17" s="25" t="s">
        <v>438</v>
      </c>
    </row>
    <row r="18" spans="1:8" ht="15.75" customHeight="1">
      <c r="A18" s="24">
        <v>108204</v>
      </c>
      <c r="B18" s="25" t="s">
        <v>19</v>
      </c>
      <c r="C18" s="25"/>
      <c r="D18" s="28" t="s">
        <v>18</v>
      </c>
      <c r="E18" s="27" t="s">
        <v>138</v>
      </c>
      <c r="F18" s="25" t="s">
        <v>3</v>
      </c>
      <c r="G18" s="25" t="s">
        <v>0</v>
      </c>
      <c r="H18" s="25" t="s">
        <v>3</v>
      </c>
    </row>
    <row r="19" spans="1:8" ht="15.75" customHeight="1">
      <c r="A19" s="24">
        <v>118123</v>
      </c>
      <c r="B19" s="25" t="s">
        <v>19</v>
      </c>
      <c r="C19" s="25"/>
      <c r="D19" s="28" t="s">
        <v>18</v>
      </c>
      <c r="E19" s="27" t="s">
        <v>20</v>
      </c>
      <c r="F19" s="25" t="s">
        <v>3</v>
      </c>
      <c r="G19" s="25" t="s">
        <v>0</v>
      </c>
      <c r="H19" s="25" t="s">
        <v>0</v>
      </c>
    </row>
    <row r="20" spans="1:8" ht="15.75" customHeight="1">
      <c r="A20" s="24">
        <v>127213</v>
      </c>
      <c r="B20" s="25" t="s">
        <v>19</v>
      </c>
      <c r="C20" s="25"/>
      <c r="D20" s="28" t="s">
        <v>18</v>
      </c>
      <c r="E20" s="27" t="s">
        <v>24</v>
      </c>
      <c r="F20" s="25" t="s">
        <v>0</v>
      </c>
      <c r="G20" s="25" t="s">
        <v>0</v>
      </c>
      <c r="H20" s="25" t="s">
        <v>438</v>
      </c>
    </row>
    <row r="21" spans="1:8" ht="15.75" customHeight="1">
      <c r="A21" s="30">
        <v>9914</v>
      </c>
      <c r="B21" s="31" t="s">
        <v>15</v>
      </c>
      <c r="C21" s="31"/>
      <c r="D21" s="32" t="e">
        <f t="shared" ref="D21:D35" ca="1" si="0">_xludf.CONCAT("https://pm.stackexchange.com/questions/",A21)</f>
        <v>#NAME?</v>
      </c>
      <c r="E21" s="33" t="s">
        <v>120</v>
      </c>
      <c r="F21" s="31" t="s">
        <v>0</v>
      </c>
      <c r="G21" s="31" t="s">
        <v>3</v>
      </c>
      <c r="H21" s="31" t="s">
        <v>3</v>
      </c>
    </row>
    <row r="22" spans="1:8" ht="12.5">
      <c r="A22" s="30">
        <v>10026</v>
      </c>
      <c r="B22" s="31" t="s">
        <v>15</v>
      </c>
      <c r="C22" s="31"/>
      <c r="D22" s="32" t="e">
        <f t="shared" ca="1" si="0"/>
        <v>#NAME?</v>
      </c>
      <c r="E22" s="33" t="s">
        <v>121</v>
      </c>
      <c r="F22" s="31" t="s">
        <v>4</v>
      </c>
      <c r="G22" s="31" t="s">
        <v>4</v>
      </c>
      <c r="H22" s="31" t="s">
        <v>438</v>
      </c>
    </row>
    <row r="23" spans="1:8" ht="12.5">
      <c r="A23" s="30">
        <v>11247</v>
      </c>
      <c r="B23" s="31" t="s">
        <v>15</v>
      </c>
      <c r="C23" s="31"/>
      <c r="D23" s="32" t="e">
        <f t="shared" ca="1" si="0"/>
        <v>#NAME?</v>
      </c>
      <c r="E23" s="33" t="s">
        <v>70</v>
      </c>
      <c r="F23" s="31" t="s">
        <v>0</v>
      </c>
      <c r="G23" s="31" t="s">
        <v>3</v>
      </c>
      <c r="H23" s="31" t="s">
        <v>0</v>
      </c>
    </row>
    <row r="24" spans="1:8" ht="12.5">
      <c r="A24" s="30">
        <v>12641</v>
      </c>
      <c r="B24" s="31" t="s">
        <v>15</v>
      </c>
      <c r="C24" s="31"/>
      <c r="D24" s="32" t="e">
        <f t="shared" ca="1" si="0"/>
        <v>#NAME?</v>
      </c>
      <c r="E24" s="33" t="s">
        <v>72</v>
      </c>
      <c r="F24" s="31" t="s">
        <v>0</v>
      </c>
      <c r="G24" s="31" t="s">
        <v>0</v>
      </c>
      <c r="H24" s="31" t="s">
        <v>438</v>
      </c>
    </row>
    <row r="25" spans="1:8" ht="12.5">
      <c r="A25" s="30">
        <v>14189</v>
      </c>
      <c r="B25" s="31" t="s">
        <v>15</v>
      </c>
      <c r="C25" s="31"/>
      <c r="D25" s="32" t="e">
        <f t="shared" ca="1" si="0"/>
        <v>#NAME?</v>
      </c>
      <c r="E25" s="33" t="s">
        <v>79</v>
      </c>
      <c r="F25" s="31" t="s">
        <v>0</v>
      </c>
      <c r="G25" s="31" t="s">
        <v>0</v>
      </c>
      <c r="H25" s="31" t="s">
        <v>438</v>
      </c>
    </row>
    <row r="26" spans="1:8" ht="12.5">
      <c r="A26" s="30">
        <v>14229</v>
      </c>
      <c r="B26" s="31" t="s">
        <v>15</v>
      </c>
      <c r="C26" s="31"/>
      <c r="D26" s="32" t="e">
        <f t="shared" ca="1" si="0"/>
        <v>#NAME?</v>
      </c>
      <c r="E26" s="33" t="s">
        <v>126</v>
      </c>
      <c r="F26" s="31" t="s">
        <v>5</v>
      </c>
      <c r="G26" s="31" t="s">
        <v>3</v>
      </c>
      <c r="H26" s="31" t="s">
        <v>438</v>
      </c>
    </row>
    <row r="27" spans="1:8" ht="12.5">
      <c r="A27" s="30">
        <v>14921</v>
      </c>
      <c r="B27" s="31" t="s">
        <v>15</v>
      </c>
      <c r="C27" s="31"/>
      <c r="D27" s="32" t="e">
        <f t="shared" ca="1" si="0"/>
        <v>#NAME?</v>
      </c>
      <c r="E27" s="33" t="s">
        <v>127</v>
      </c>
      <c r="F27" s="31" t="s">
        <v>5</v>
      </c>
      <c r="G27" s="31" t="s">
        <v>5</v>
      </c>
      <c r="H27" s="31" t="s">
        <v>438</v>
      </c>
    </row>
    <row r="28" spans="1:8" ht="12.5">
      <c r="A28" s="30">
        <v>17588</v>
      </c>
      <c r="B28" s="31" t="s">
        <v>15</v>
      </c>
      <c r="C28" s="31"/>
      <c r="D28" s="32" t="e">
        <f t="shared" ca="1" si="0"/>
        <v>#NAME?</v>
      </c>
      <c r="E28" s="33" t="s">
        <v>128</v>
      </c>
      <c r="F28" s="31" t="s">
        <v>5</v>
      </c>
      <c r="G28" s="31" t="s">
        <v>3</v>
      </c>
      <c r="H28" s="31" t="s">
        <v>438</v>
      </c>
    </row>
    <row r="29" spans="1:8" ht="12.5">
      <c r="A29" s="30">
        <v>17835</v>
      </c>
      <c r="B29" s="31" t="s">
        <v>15</v>
      </c>
      <c r="C29" s="31"/>
      <c r="D29" s="32" t="e">
        <f t="shared" ca="1" si="0"/>
        <v>#NAME?</v>
      </c>
      <c r="E29" s="33" t="s">
        <v>129</v>
      </c>
      <c r="F29" s="31" t="s">
        <v>5</v>
      </c>
      <c r="G29" s="31" t="s">
        <v>0</v>
      </c>
      <c r="H29" s="31" t="s">
        <v>5</v>
      </c>
    </row>
    <row r="30" spans="1:8" ht="12.5">
      <c r="A30" s="30">
        <v>18301</v>
      </c>
      <c r="B30" s="31" t="s">
        <v>15</v>
      </c>
      <c r="C30" s="31"/>
      <c r="D30" s="32" t="e">
        <f t="shared" ca="1" si="0"/>
        <v>#NAME?</v>
      </c>
      <c r="E30" s="33" t="s">
        <v>92</v>
      </c>
      <c r="F30" s="31" t="s">
        <v>3</v>
      </c>
      <c r="G30" s="31" t="s">
        <v>0</v>
      </c>
      <c r="H30" s="31" t="s">
        <v>0</v>
      </c>
    </row>
    <row r="31" spans="1:8" ht="12.5">
      <c r="A31" s="30">
        <v>18484</v>
      </c>
      <c r="B31" s="31" t="s">
        <v>15</v>
      </c>
      <c r="C31" s="31"/>
      <c r="D31" s="32" t="e">
        <f t="shared" ca="1" si="0"/>
        <v>#NAME?</v>
      </c>
      <c r="E31" s="33" t="s">
        <v>131</v>
      </c>
      <c r="F31" s="31" t="s">
        <v>3</v>
      </c>
      <c r="G31" s="31" t="s">
        <v>5</v>
      </c>
      <c r="H31" s="31" t="s">
        <v>438</v>
      </c>
    </row>
    <row r="32" spans="1:8" ht="12.5">
      <c r="A32" s="30">
        <v>20765</v>
      </c>
      <c r="B32" s="31" t="s">
        <v>15</v>
      </c>
      <c r="C32" s="31"/>
      <c r="D32" s="32" t="e">
        <f t="shared" ca="1" si="0"/>
        <v>#NAME?</v>
      </c>
      <c r="E32" s="33" t="s">
        <v>132</v>
      </c>
      <c r="F32" s="31" t="s">
        <v>3</v>
      </c>
      <c r="G32" s="31" t="s">
        <v>3</v>
      </c>
      <c r="H32" s="31" t="s">
        <v>438</v>
      </c>
    </row>
    <row r="33" spans="1:8" ht="12.5">
      <c r="A33" s="30">
        <v>20782</v>
      </c>
      <c r="B33" s="31" t="s">
        <v>15</v>
      </c>
      <c r="C33" s="31"/>
      <c r="D33" s="32" t="e">
        <f t="shared" ca="1" si="0"/>
        <v>#NAME?</v>
      </c>
      <c r="E33" s="33" t="s">
        <v>133</v>
      </c>
      <c r="F33" s="31" t="s">
        <v>3</v>
      </c>
      <c r="G33" s="31" t="s">
        <v>5</v>
      </c>
      <c r="H33" s="31" t="s">
        <v>438</v>
      </c>
    </row>
    <row r="34" spans="1:8" ht="12.5">
      <c r="A34" s="30">
        <v>20827</v>
      </c>
      <c r="B34" s="31" t="s">
        <v>15</v>
      </c>
      <c r="C34" s="31"/>
      <c r="D34" s="32" t="e">
        <f t="shared" ca="1" si="0"/>
        <v>#NAME?</v>
      </c>
      <c r="E34" s="33" t="s">
        <v>103</v>
      </c>
      <c r="F34" s="31" t="s">
        <v>0</v>
      </c>
      <c r="G34" s="31" t="s">
        <v>0</v>
      </c>
      <c r="H34" s="31" t="s">
        <v>438</v>
      </c>
    </row>
    <row r="35" spans="1:8" ht="12.5">
      <c r="A35" s="30">
        <v>21219</v>
      </c>
      <c r="B35" s="31" t="s">
        <v>15</v>
      </c>
      <c r="C35" s="31"/>
      <c r="D35" s="32" t="e">
        <f t="shared" ca="1" si="0"/>
        <v>#NAME?</v>
      </c>
      <c r="E35" s="33" t="s">
        <v>135</v>
      </c>
      <c r="F35" s="31" t="s">
        <v>3</v>
      </c>
      <c r="G35" s="31" t="s">
        <v>3</v>
      </c>
      <c r="H35" s="31" t="s">
        <v>438</v>
      </c>
    </row>
    <row r="36" spans="1:8" ht="12.5">
      <c r="A36" s="30">
        <v>127300</v>
      </c>
      <c r="B36" s="31" t="s">
        <v>19</v>
      </c>
      <c r="C36" s="31"/>
      <c r="D36" s="34" t="e">
        <f t="shared" ref="D36:D50" ca="1" si="1">_xludf.CONCAT("https://softwareengineering.stackexchange.com/questions/",A36)</f>
        <v>#NAME?</v>
      </c>
      <c r="E36" s="33" t="s">
        <v>54</v>
      </c>
      <c r="F36" s="31" t="s">
        <v>5</v>
      </c>
      <c r="G36" s="31" t="s">
        <v>0</v>
      </c>
      <c r="H36" s="31" t="s">
        <v>0</v>
      </c>
    </row>
    <row r="37" spans="1:8" ht="12.5">
      <c r="A37" s="30">
        <v>142779</v>
      </c>
      <c r="B37" s="31" t="s">
        <v>19</v>
      </c>
      <c r="C37" s="31"/>
      <c r="D37" s="34" t="e">
        <f t="shared" ca="1" si="1"/>
        <v>#NAME?</v>
      </c>
      <c r="E37" s="33" t="s">
        <v>104</v>
      </c>
      <c r="F37" s="31" t="s">
        <v>3</v>
      </c>
      <c r="G37" s="31" t="s">
        <v>3</v>
      </c>
      <c r="H37" s="31" t="s">
        <v>438</v>
      </c>
    </row>
    <row r="38" spans="1:8" ht="12.5">
      <c r="A38" s="30">
        <v>147937</v>
      </c>
      <c r="B38" s="31" t="s">
        <v>19</v>
      </c>
      <c r="C38" s="31"/>
      <c r="D38" s="34" t="e">
        <f t="shared" ca="1" si="1"/>
        <v>#NAME?</v>
      </c>
      <c r="E38" s="33" t="s">
        <v>38</v>
      </c>
      <c r="F38" s="31" t="s">
        <v>0</v>
      </c>
      <c r="G38" s="31" t="s">
        <v>0</v>
      </c>
      <c r="H38" s="31" t="s">
        <v>438</v>
      </c>
    </row>
    <row r="39" spans="1:8" ht="12.5">
      <c r="A39" s="30">
        <v>156771</v>
      </c>
      <c r="B39" s="31" t="s">
        <v>19</v>
      </c>
      <c r="C39" s="31"/>
      <c r="D39" s="34" t="e">
        <f t="shared" ca="1" si="1"/>
        <v>#NAME?</v>
      </c>
      <c r="E39" s="33" t="s">
        <v>106</v>
      </c>
      <c r="F39" s="31" t="s">
        <v>3</v>
      </c>
      <c r="G39" s="31" t="s">
        <v>3</v>
      </c>
      <c r="H39" s="31" t="s">
        <v>438</v>
      </c>
    </row>
    <row r="40" spans="1:8" ht="12.5">
      <c r="A40" s="30">
        <v>158044</v>
      </c>
      <c r="B40" s="31" t="s">
        <v>19</v>
      </c>
      <c r="C40" s="31"/>
      <c r="D40" s="34" t="e">
        <f t="shared" ca="1" si="1"/>
        <v>#NAME?</v>
      </c>
      <c r="E40" s="33" t="s">
        <v>107</v>
      </c>
      <c r="F40" s="31" t="s">
        <v>3</v>
      </c>
      <c r="G40" s="31" t="s">
        <v>3</v>
      </c>
      <c r="H40" s="31" t="s">
        <v>438</v>
      </c>
    </row>
    <row r="41" spans="1:8" ht="12.5">
      <c r="A41" s="30">
        <v>162786</v>
      </c>
      <c r="B41" s="31" t="s">
        <v>19</v>
      </c>
      <c r="C41" s="31"/>
      <c r="D41" s="34" t="e">
        <f t="shared" ca="1" si="1"/>
        <v>#NAME?</v>
      </c>
      <c r="E41" s="33" t="s">
        <v>108</v>
      </c>
      <c r="F41" s="31" t="s">
        <v>4</v>
      </c>
      <c r="G41" s="31" t="s">
        <v>0</v>
      </c>
      <c r="H41" s="31" t="s">
        <v>3</v>
      </c>
    </row>
    <row r="42" spans="1:8" ht="12.5">
      <c r="A42" s="30">
        <v>166235</v>
      </c>
      <c r="B42" s="31" t="s">
        <v>19</v>
      </c>
      <c r="C42" s="31"/>
      <c r="D42" s="34" t="e">
        <f t="shared" ca="1" si="1"/>
        <v>#NAME?</v>
      </c>
      <c r="E42" s="33" t="s">
        <v>110</v>
      </c>
      <c r="F42" s="31" t="s">
        <v>5</v>
      </c>
      <c r="G42" s="31" t="s">
        <v>5</v>
      </c>
      <c r="H42" s="31" t="s">
        <v>438</v>
      </c>
    </row>
    <row r="43" spans="1:8" ht="12.5">
      <c r="A43" s="30">
        <v>176089</v>
      </c>
      <c r="B43" s="31" t="s">
        <v>19</v>
      </c>
      <c r="C43" s="31"/>
      <c r="D43" s="34" t="e">
        <f t="shared" ca="1" si="1"/>
        <v>#NAME?</v>
      </c>
      <c r="E43" s="33" t="s">
        <v>111</v>
      </c>
      <c r="F43" s="31" t="s">
        <v>5</v>
      </c>
      <c r="G43" s="31" t="s">
        <v>5</v>
      </c>
      <c r="H43" s="31" t="s">
        <v>438</v>
      </c>
    </row>
    <row r="44" spans="1:8" ht="12.5">
      <c r="A44" s="30">
        <v>188059</v>
      </c>
      <c r="B44" s="31" t="s">
        <v>19</v>
      </c>
      <c r="C44" s="31"/>
      <c r="D44" s="34" t="e">
        <f t="shared" ca="1" si="1"/>
        <v>#NAME?</v>
      </c>
      <c r="E44" s="33" t="s">
        <v>112</v>
      </c>
      <c r="F44" s="31" t="s">
        <v>3</v>
      </c>
      <c r="G44" s="31" t="s">
        <v>3</v>
      </c>
      <c r="H44" s="31" t="s">
        <v>438</v>
      </c>
    </row>
    <row r="45" spans="1:8" ht="12.5">
      <c r="A45" s="30">
        <v>194026</v>
      </c>
      <c r="B45" s="31" t="s">
        <v>19</v>
      </c>
      <c r="C45" s="31"/>
      <c r="D45" s="34" t="e">
        <f t="shared" ca="1" si="1"/>
        <v>#NAME?</v>
      </c>
      <c r="E45" s="33" t="s">
        <v>113</v>
      </c>
      <c r="F45" s="31" t="s">
        <v>3</v>
      </c>
      <c r="G45" s="31" t="s">
        <v>3</v>
      </c>
      <c r="H45" s="31" t="s">
        <v>438</v>
      </c>
    </row>
    <row r="46" spans="1:8" ht="12.5">
      <c r="A46" s="30">
        <v>194180</v>
      </c>
      <c r="B46" s="31" t="s">
        <v>19</v>
      </c>
      <c r="C46" s="31"/>
      <c r="D46" s="34" t="e">
        <f t="shared" ca="1" si="1"/>
        <v>#NAME?</v>
      </c>
      <c r="E46" s="33" t="s">
        <v>156</v>
      </c>
      <c r="F46" s="31" t="s">
        <v>0</v>
      </c>
      <c r="G46" s="31" t="s">
        <v>0</v>
      </c>
      <c r="H46" s="31" t="s">
        <v>438</v>
      </c>
    </row>
    <row r="47" spans="1:8" ht="12.5">
      <c r="A47" s="30">
        <v>200645</v>
      </c>
      <c r="B47" s="31" t="s">
        <v>19</v>
      </c>
      <c r="C47" s="31"/>
      <c r="D47" s="34" t="e">
        <f t="shared" ca="1" si="1"/>
        <v>#NAME?</v>
      </c>
      <c r="E47" s="33" t="s">
        <v>116</v>
      </c>
      <c r="F47" s="31" t="s">
        <v>3</v>
      </c>
      <c r="G47" s="31" t="s">
        <v>5</v>
      </c>
      <c r="H47" s="31" t="s">
        <v>438</v>
      </c>
    </row>
    <row r="48" spans="1:8" ht="12.5">
      <c r="A48" s="30">
        <v>203523</v>
      </c>
      <c r="B48" s="31" t="s">
        <v>19</v>
      </c>
      <c r="C48" s="31"/>
      <c r="D48" s="34" t="e">
        <f t="shared" ca="1" si="1"/>
        <v>#NAME?</v>
      </c>
      <c r="E48" s="33" t="s">
        <v>117</v>
      </c>
      <c r="F48" s="31" t="s">
        <v>5</v>
      </c>
      <c r="G48" s="31" t="s">
        <v>5</v>
      </c>
      <c r="H48" s="31" t="s">
        <v>438</v>
      </c>
    </row>
    <row r="49" spans="1:8" ht="12.5">
      <c r="A49" s="30">
        <v>204904</v>
      </c>
      <c r="B49" s="31" t="s">
        <v>19</v>
      </c>
      <c r="C49" s="31"/>
      <c r="D49" s="34" t="e">
        <f t="shared" ca="1" si="1"/>
        <v>#NAME?</v>
      </c>
      <c r="E49" s="33" t="s">
        <v>118</v>
      </c>
      <c r="F49" s="31" t="s">
        <v>3</v>
      </c>
      <c r="G49" s="31" t="s">
        <v>3</v>
      </c>
      <c r="H49" s="31" t="s">
        <v>438</v>
      </c>
    </row>
    <row r="50" spans="1:8" ht="12.5">
      <c r="A50" s="30">
        <v>216560</v>
      </c>
      <c r="B50" s="31" t="s">
        <v>19</v>
      </c>
      <c r="C50" s="31"/>
      <c r="D50" s="34" t="e">
        <f t="shared" ca="1" si="1"/>
        <v>#NAME?</v>
      </c>
      <c r="E50" s="33" t="s">
        <v>119</v>
      </c>
      <c r="F50" s="31" t="s">
        <v>3</v>
      </c>
      <c r="G50" s="31" t="s">
        <v>3</v>
      </c>
      <c r="H50" s="31" t="s">
        <v>438</v>
      </c>
    </row>
    <row r="51" spans="1:8" ht="12.5">
      <c r="A51" s="35">
        <v>22001</v>
      </c>
      <c r="B51" s="36" t="s">
        <v>15</v>
      </c>
      <c r="C51" s="36"/>
      <c r="D51" s="37" t="e">
        <f t="shared" ref="D51:D65" ca="1" si="2">_xludf.CONCAT("https://pm.stackexchange.com/questions/",A51)</f>
        <v>#NAME?</v>
      </c>
      <c r="E51" s="38" t="s">
        <v>100</v>
      </c>
      <c r="F51" s="36" t="s">
        <v>0</v>
      </c>
      <c r="G51" s="36" t="s">
        <v>0</v>
      </c>
      <c r="H51" s="36" t="s">
        <v>438</v>
      </c>
    </row>
    <row r="52" spans="1:8" ht="12.5">
      <c r="A52" s="35">
        <v>22155</v>
      </c>
      <c r="B52" s="36" t="s">
        <v>15</v>
      </c>
      <c r="C52" s="36"/>
      <c r="D52" s="37" t="e">
        <f t="shared" ca="1" si="2"/>
        <v>#NAME?</v>
      </c>
      <c r="E52" s="38" t="s">
        <v>85</v>
      </c>
      <c r="F52" s="36" t="s">
        <v>3</v>
      </c>
      <c r="G52" s="36" t="s">
        <v>3</v>
      </c>
      <c r="H52" s="36" t="s">
        <v>438</v>
      </c>
    </row>
    <row r="53" spans="1:8" ht="12.5">
      <c r="A53" s="35">
        <v>22192</v>
      </c>
      <c r="B53" s="36" t="s">
        <v>15</v>
      </c>
      <c r="C53" s="36"/>
      <c r="D53" s="37" t="e">
        <f t="shared" ca="1" si="2"/>
        <v>#NAME?</v>
      </c>
      <c r="E53" s="38" t="s">
        <v>86</v>
      </c>
      <c r="F53" s="36" t="s">
        <v>3</v>
      </c>
      <c r="G53" s="36" t="s">
        <v>3</v>
      </c>
      <c r="H53" s="36" t="s">
        <v>438</v>
      </c>
    </row>
    <row r="54" spans="1:8" ht="12.5">
      <c r="A54" s="35">
        <v>22800</v>
      </c>
      <c r="B54" s="36" t="s">
        <v>15</v>
      </c>
      <c r="C54" s="36"/>
      <c r="D54" s="37" t="e">
        <f t="shared" ca="1" si="2"/>
        <v>#NAME?</v>
      </c>
      <c r="E54" s="38" t="s">
        <v>87</v>
      </c>
      <c r="F54" s="36" t="s">
        <v>3</v>
      </c>
      <c r="G54" s="36" t="s">
        <v>5</v>
      </c>
      <c r="H54" s="36" t="s">
        <v>438</v>
      </c>
    </row>
    <row r="55" spans="1:8" ht="12.5">
      <c r="A55" s="35">
        <v>23855</v>
      </c>
      <c r="B55" s="36" t="s">
        <v>15</v>
      </c>
      <c r="C55" s="36"/>
      <c r="D55" s="37" t="e">
        <f t="shared" ca="1" si="2"/>
        <v>#NAME?</v>
      </c>
      <c r="E55" s="38" t="s">
        <v>105</v>
      </c>
      <c r="F55" s="36" t="s">
        <v>0</v>
      </c>
      <c r="G55" s="36" t="s">
        <v>0</v>
      </c>
      <c r="H55" s="36" t="s">
        <v>438</v>
      </c>
    </row>
    <row r="56" spans="1:8" ht="12.5">
      <c r="A56" s="35">
        <v>24685</v>
      </c>
      <c r="B56" s="36" t="s">
        <v>15</v>
      </c>
      <c r="C56" s="36"/>
      <c r="D56" s="37" t="e">
        <f t="shared" ca="1" si="2"/>
        <v>#NAME?</v>
      </c>
      <c r="E56" s="38" t="s">
        <v>90</v>
      </c>
      <c r="F56" s="36" t="s">
        <v>3</v>
      </c>
      <c r="G56" s="36" t="s">
        <v>5</v>
      </c>
      <c r="H56" s="36" t="s">
        <v>438</v>
      </c>
    </row>
    <row r="57" spans="1:8" ht="12.5">
      <c r="A57" s="35">
        <v>24909</v>
      </c>
      <c r="B57" s="36" t="s">
        <v>15</v>
      </c>
      <c r="C57" s="36"/>
      <c r="D57" s="37" t="e">
        <f t="shared" ca="1" si="2"/>
        <v>#NAME?</v>
      </c>
      <c r="E57" s="38" t="s">
        <v>91</v>
      </c>
      <c r="F57" s="36" t="s">
        <v>3</v>
      </c>
      <c r="G57" s="36" t="s">
        <v>3</v>
      </c>
      <c r="H57" s="36" t="s">
        <v>438</v>
      </c>
    </row>
    <row r="58" spans="1:8" ht="12.5">
      <c r="A58" s="35">
        <v>25196</v>
      </c>
      <c r="B58" s="36" t="s">
        <v>15</v>
      </c>
      <c r="C58" s="36"/>
      <c r="D58" s="37" t="e">
        <f t="shared" ca="1" si="2"/>
        <v>#NAME?</v>
      </c>
      <c r="E58" s="38" t="s">
        <v>114</v>
      </c>
      <c r="F58" s="36" t="s">
        <v>0</v>
      </c>
      <c r="G58" s="36" t="s">
        <v>0</v>
      </c>
      <c r="H58" s="36" t="s">
        <v>438</v>
      </c>
    </row>
    <row r="59" spans="1:8" ht="12.5">
      <c r="A59" s="35">
        <v>25469</v>
      </c>
      <c r="B59" s="36" t="s">
        <v>15</v>
      </c>
      <c r="C59" s="36"/>
      <c r="D59" s="37" t="e">
        <f t="shared" ca="1" si="2"/>
        <v>#NAME?</v>
      </c>
      <c r="E59" s="38" t="s">
        <v>94</v>
      </c>
      <c r="F59" s="36" t="s">
        <v>3</v>
      </c>
      <c r="G59" s="36" t="s">
        <v>5</v>
      </c>
      <c r="H59" s="36" t="s">
        <v>438</v>
      </c>
    </row>
    <row r="60" spans="1:8" ht="12.5">
      <c r="A60" s="35">
        <v>25637</v>
      </c>
      <c r="B60" s="36" t="s">
        <v>15</v>
      </c>
      <c r="C60" s="36"/>
      <c r="D60" s="37" t="e">
        <f t="shared" ca="1" si="2"/>
        <v>#NAME?</v>
      </c>
      <c r="E60" s="38" t="s">
        <v>139</v>
      </c>
      <c r="F60" s="36" t="s">
        <v>0</v>
      </c>
      <c r="G60" s="36" t="s">
        <v>5</v>
      </c>
      <c r="H60" s="36" t="s">
        <v>0</v>
      </c>
    </row>
    <row r="61" spans="1:8" ht="12.5">
      <c r="A61" s="35">
        <v>25714</v>
      </c>
      <c r="B61" s="36" t="s">
        <v>15</v>
      </c>
      <c r="C61" s="36"/>
      <c r="D61" s="37" t="e">
        <f t="shared" ca="1" si="2"/>
        <v>#NAME?</v>
      </c>
      <c r="E61" s="38" t="s">
        <v>141</v>
      </c>
      <c r="F61" s="36" t="s">
        <v>0</v>
      </c>
      <c r="G61" s="36" t="s">
        <v>0</v>
      </c>
      <c r="H61" s="36" t="s">
        <v>438</v>
      </c>
    </row>
    <row r="62" spans="1:8" ht="12.5">
      <c r="A62" s="35">
        <v>25729</v>
      </c>
      <c r="B62" s="36" t="s">
        <v>15</v>
      </c>
      <c r="C62" s="36"/>
      <c r="D62" s="37" t="e">
        <f t="shared" ca="1" si="2"/>
        <v>#NAME?</v>
      </c>
      <c r="E62" s="38" t="s">
        <v>99</v>
      </c>
      <c r="F62" s="36" t="s">
        <v>5</v>
      </c>
      <c r="G62" s="36" t="s">
        <v>5</v>
      </c>
      <c r="H62" s="36" t="s">
        <v>438</v>
      </c>
    </row>
    <row r="63" spans="1:8" ht="12.5">
      <c r="A63" s="35">
        <v>25744</v>
      </c>
      <c r="B63" s="36" t="s">
        <v>15</v>
      </c>
      <c r="C63" s="36"/>
      <c r="D63" s="37" t="e">
        <f t="shared" ca="1" si="2"/>
        <v>#NAME?</v>
      </c>
      <c r="E63" s="38" t="s">
        <v>145</v>
      </c>
      <c r="F63" s="36" t="s">
        <v>0</v>
      </c>
      <c r="G63" s="36" t="s">
        <v>0</v>
      </c>
      <c r="H63" s="36" t="s">
        <v>438</v>
      </c>
    </row>
    <row r="64" spans="1:8" ht="12.5">
      <c r="A64" s="35">
        <v>25875</v>
      </c>
      <c r="B64" s="36" t="s">
        <v>15</v>
      </c>
      <c r="C64" s="36"/>
      <c r="D64" s="37" t="e">
        <f t="shared" ca="1" si="2"/>
        <v>#NAME?</v>
      </c>
      <c r="E64" s="38" t="s">
        <v>101</v>
      </c>
      <c r="F64" s="36" t="s">
        <v>3</v>
      </c>
      <c r="G64" s="36" t="s">
        <v>5</v>
      </c>
      <c r="H64" s="36" t="s">
        <v>438</v>
      </c>
    </row>
    <row r="65" spans="1:8" ht="12.5">
      <c r="A65" s="35">
        <v>26339</v>
      </c>
      <c r="B65" s="36" t="s">
        <v>15</v>
      </c>
      <c r="C65" s="36"/>
      <c r="D65" s="37" t="e">
        <f t="shared" ca="1" si="2"/>
        <v>#NAME?</v>
      </c>
      <c r="E65" s="38" t="s">
        <v>102</v>
      </c>
      <c r="F65" s="36" t="s">
        <v>3</v>
      </c>
      <c r="G65" s="36" t="s">
        <v>3</v>
      </c>
      <c r="H65" s="36" t="s">
        <v>438</v>
      </c>
    </row>
    <row r="66" spans="1:8" ht="12.5">
      <c r="A66" s="35">
        <v>228110</v>
      </c>
      <c r="B66" s="36" t="s">
        <v>19</v>
      </c>
      <c r="C66" s="36"/>
      <c r="D66" s="39" t="e">
        <f t="shared" ref="D66:D80" ca="1" si="3">_xludf.CONCAT("https://softwareengineering.stackexchange.com/questions/",A66)</f>
        <v>#NAME?</v>
      </c>
      <c r="E66" s="38" t="s">
        <v>81</v>
      </c>
      <c r="F66" s="36" t="s">
        <v>5</v>
      </c>
      <c r="G66" s="36" t="s">
        <v>0</v>
      </c>
      <c r="H66" s="36" t="s">
        <v>0</v>
      </c>
    </row>
    <row r="67" spans="1:8" ht="12.5">
      <c r="A67" s="35">
        <v>231273</v>
      </c>
      <c r="B67" s="36" t="s">
        <v>19</v>
      </c>
      <c r="C67" s="36"/>
      <c r="D67" s="39" t="e">
        <f t="shared" ca="1" si="3"/>
        <v>#NAME?</v>
      </c>
      <c r="E67" s="38" t="s">
        <v>66</v>
      </c>
      <c r="F67" s="36" t="s">
        <v>0</v>
      </c>
      <c r="G67" s="36" t="s">
        <v>0</v>
      </c>
      <c r="H67" s="36" t="s">
        <v>438</v>
      </c>
    </row>
    <row r="68" spans="1:8" ht="12.5">
      <c r="A68" s="35">
        <v>232488</v>
      </c>
      <c r="B68" s="36" t="s">
        <v>19</v>
      </c>
      <c r="C68" s="36"/>
      <c r="D68" s="39" t="e">
        <f t="shared" ca="1" si="3"/>
        <v>#NAME?</v>
      </c>
      <c r="E68" s="38" t="s">
        <v>83</v>
      </c>
      <c r="F68" s="36" t="s">
        <v>0</v>
      </c>
      <c r="G68" s="36" t="s">
        <v>3</v>
      </c>
      <c r="H68" s="36" t="s">
        <v>0</v>
      </c>
    </row>
    <row r="69" spans="1:8" ht="12.5">
      <c r="A69" s="35">
        <v>234758</v>
      </c>
      <c r="B69" s="36" t="s">
        <v>19</v>
      </c>
      <c r="C69" s="36"/>
      <c r="D69" s="39" t="e">
        <f t="shared" ca="1" si="3"/>
        <v>#NAME?</v>
      </c>
      <c r="E69" s="38" t="s">
        <v>67</v>
      </c>
      <c r="F69" s="36" t="s">
        <v>3</v>
      </c>
      <c r="G69" s="36" t="s">
        <v>0</v>
      </c>
      <c r="H69" s="36" t="s">
        <v>0</v>
      </c>
    </row>
    <row r="70" spans="1:8" ht="12.5">
      <c r="A70" s="35">
        <v>239247</v>
      </c>
      <c r="B70" s="36" t="s">
        <v>19</v>
      </c>
      <c r="C70" s="36"/>
      <c r="D70" s="39" t="e">
        <f t="shared" ca="1" si="3"/>
        <v>#NAME?</v>
      </c>
      <c r="E70" s="38" t="s">
        <v>71</v>
      </c>
      <c r="F70" s="36" t="s">
        <v>3</v>
      </c>
      <c r="G70" s="36" t="s">
        <v>3</v>
      </c>
      <c r="H70" s="36" t="s">
        <v>438</v>
      </c>
    </row>
    <row r="71" spans="1:8" ht="12.5">
      <c r="A71" s="35">
        <v>240325</v>
      </c>
      <c r="B71" s="36" t="s">
        <v>19</v>
      </c>
      <c r="C71" s="36"/>
      <c r="D71" s="39" t="e">
        <f t="shared" ca="1" si="3"/>
        <v>#NAME?</v>
      </c>
      <c r="E71" s="38" t="s">
        <v>68</v>
      </c>
      <c r="F71" s="36" t="s">
        <v>0</v>
      </c>
      <c r="G71" s="36" t="s">
        <v>0</v>
      </c>
      <c r="H71" s="36" t="s">
        <v>438</v>
      </c>
    </row>
    <row r="72" spans="1:8" ht="12.5">
      <c r="A72" s="35">
        <v>247154</v>
      </c>
      <c r="B72" s="36" t="s">
        <v>19</v>
      </c>
      <c r="C72" s="36"/>
      <c r="D72" s="39" t="e">
        <f t="shared" ca="1" si="3"/>
        <v>#NAME?</v>
      </c>
      <c r="E72" s="38" t="s">
        <v>74</v>
      </c>
      <c r="F72" s="36" t="s">
        <v>3</v>
      </c>
      <c r="G72" s="36" t="s">
        <v>3</v>
      </c>
      <c r="H72" s="36" t="s">
        <v>438</v>
      </c>
    </row>
    <row r="73" spans="1:8" ht="12.5">
      <c r="A73" s="35">
        <v>255110</v>
      </c>
      <c r="B73" s="36" t="s">
        <v>19</v>
      </c>
      <c r="C73" s="36"/>
      <c r="D73" s="39" t="e">
        <f t="shared" ca="1" si="3"/>
        <v>#NAME?</v>
      </c>
      <c r="E73" s="36" t="s">
        <v>75</v>
      </c>
      <c r="F73" s="36" t="s">
        <v>5</v>
      </c>
      <c r="G73" s="36" t="s">
        <v>5</v>
      </c>
      <c r="H73" s="36" t="s">
        <v>438</v>
      </c>
    </row>
    <row r="74" spans="1:8" ht="12.5">
      <c r="A74" s="35">
        <v>256543</v>
      </c>
      <c r="B74" s="36" t="s">
        <v>19</v>
      </c>
      <c r="C74" s="36"/>
      <c r="D74" s="39" t="e">
        <f t="shared" ca="1" si="3"/>
        <v>#NAME?</v>
      </c>
      <c r="E74" s="38" t="s">
        <v>76</v>
      </c>
      <c r="F74" s="36" t="s">
        <v>0</v>
      </c>
      <c r="G74" s="36" t="s">
        <v>5</v>
      </c>
      <c r="H74" s="36" t="s">
        <v>5</v>
      </c>
    </row>
    <row r="75" spans="1:8" ht="12.5">
      <c r="A75" s="35">
        <v>300649</v>
      </c>
      <c r="B75" s="36" t="s">
        <v>19</v>
      </c>
      <c r="C75" s="36"/>
      <c r="D75" s="39" t="e">
        <f t="shared" ca="1" si="3"/>
        <v>#NAME?</v>
      </c>
      <c r="E75" s="38" t="s">
        <v>77</v>
      </c>
      <c r="F75" s="36" t="s">
        <v>3</v>
      </c>
      <c r="G75" s="36" t="s">
        <v>3</v>
      </c>
      <c r="H75" s="36" t="s">
        <v>438</v>
      </c>
    </row>
    <row r="76" spans="1:8" ht="12.5">
      <c r="A76" s="35">
        <v>310705</v>
      </c>
      <c r="B76" s="36" t="s">
        <v>19</v>
      </c>
      <c r="C76" s="36"/>
      <c r="D76" s="39" t="e">
        <f t="shared" ca="1" si="3"/>
        <v>#NAME?</v>
      </c>
      <c r="E76" s="38" t="s">
        <v>78</v>
      </c>
      <c r="F76" s="36" t="s">
        <v>3</v>
      </c>
      <c r="G76" s="36" t="s">
        <v>3</v>
      </c>
      <c r="H76" s="36" t="s">
        <v>438</v>
      </c>
    </row>
    <row r="77" spans="1:8" ht="12.5">
      <c r="A77" s="35">
        <v>315641</v>
      </c>
      <c r="B77" s="36" t="s">
        <v>19</v>
      </c>
      <c r="C77" s="36"/>
      <c r="D77" s="39" t="e">
        <f t="shared" ca="1" si="3"/>
        <v>#NAME?</v>
      </c>
      <c r="E77" s="38" t="s">
        <v>84</v>
      </c>
      <c r="F77" s="36" t="s">
        <v>0</v>
      </c>
      <c r="G77" s="36" t="s">
        <v>0</v>
      </c>
      <c r="H77" s="36" t="s">
        <v>438</v>
      </c>
    </row>
    <row r="78" spans="1:8" ht="12.5">
      <c r="A78" s="35">
        <v>323107</v>
      </c>
      <c r="B78" s="36" t="s">
        <v>19</v>
      </c>
      <c r="C78" s="36"/>
      <c r="D78" s="39" t="e">
        <f t="shared" ca="1" si="3"/>
        <v>#NAME?</v>
      </c>
      <c r="E78" s="38" t="s">
        <v>88</v>
      </c>
      <c r="F78" s="36" t="s">
        <v>0</v>
      </c>
      <c r="G78" s="36" t="s">
        <v>0</v>
      </c>
      <c r="H78" s="36" t="s">
        <v>438</v>
      </c>
    </row>
    <row r="79" spans="1:8" ht="12.5">
      <c r="A79" s="35">
        <v>340019</v>
      </c>
      <c r="B79" s="36" t="s">
        <v>19</v>
      </c>
      <c r="C79" s="36"/>
      <c r="D79" s="39" t="e">
        <f t="shared" ca="1" si="3"/>
        <v>#NAME?</v>
      </c>
      <c r="E79" s="38" t="s">
        <v>82</v>
      </c>
      <c r="F79" s="36" t="s">
        <v>3</v>
      </c>
      <c r="G79" s="36" t="s">
        <v>3</v>
      </c>
      <c r="H79" s="36" t="s">
        <v>438</v>
      </c>
    </row>
    <row r="80" spans="1:8" ht="12.5">
      <c r="A80" s="35">
        <v>340712</v>
      </c>
      <c r="B80" s="36" t="s">
        <v>19</v>
      </c>
      <c r="C80" s="36"/>
      <c r="D80" s="39" t="e">
        <f t="shared" ca="1" si="3"/>
        <v>#NAME?</v>
      </c>
      <c r="E80" s="36" t="s">
        <v>97</v>
      </c>
      <c r="F80" s="36" t="s">
        <v>0</v>
      </c>
      <c r="G80" s="36" t="s">
        <v>5</v>
      </c>
      <c r="H80" s="36" t="s">
        <v>0</v>
      </c>
    </row>
    <row r="81" spans="1:8" ht="14">
      <c r="A81" s="4">
        <v>26493</v>
      </c>
      <c r="B81" s="5" t="s">
        <v>15</v>
      </c>
      <c r="D81" s="40" t="e">
        <f t="shared" ref="D81:D94" ca="1" si="4">_xludf.CONCAT("https://pm.stackexchange.com/questions/",A81)</f>
        <v>#NAME?</v>
      </c>
      <c r="E81" s="7" t="s">
        <v>17</v>
      </c>
      <c r="F81" s="5" t="s">
        <v>3</v>
      </c>
      <c r="G81" s="5" t="s">
        <v>3</v>
      </c>
      <c r="H81" s="16" t="s">
        <v>438</v>
      </c>
    </row>
    <row r="82" spans="1:8" ht="12.5">
      <c r="A82" s="4">
        <v>26673</v>
      </c>
      <c r="B82" s="5" t="s">
        <v>15</v>
      </c>
      <c r="D82" s="40" t="e">
        <f t="shared" ca="1" si="4"/>
        <v>#NAME?</v>
      </c>
      <c r="E82" s="13" t="s">
        <v>122</v>
      </c>
      <c r="F82" s="5" t="s">
        <v>0</v>
      </c>
      <c r="G82" s="5" t="s">
        <v>3</v>
      </c>
      <c r="H82" s="5" t="s">
        <v>0</v>
      </c>
    </row>
    <row r="83" spans="1:8" ht="12.5">
      <c r="A83" s="4">
        <v>26940</v>
      </c>
      <c r="B83" s="5" t="s">
        <v>15</v>
      </c>
      <c r="D83" s="40" t="e">
        <f t="shared" ca="1" si="4"/>
        <v>#NAME?</v>
      </c>
      <c r="E83" s="7" t="s">
        <v>22</v>
      </c>
      <c r="F83" s="5" t="s">
        <v>3</v>
      </c>
      <c r="G83" s="5" t="s">
        <v>3</v>
      </c>
      <c r="H83" s="5" t="s">
        <v>438</v>
      </c>
    </row>
    <row r="84" spans="1:8" ht="12.5">
      <c r="A84" s="4">
        <v>27494</v>
      </c>
      <c r="B84" s="5" t="s">
        <v>15</v>
      </c>
      <c r="D84" s="40" t="e">
        <f t="shared" ca="1" si="4"/>
        <v>#NAME?</v>
      </c>
      <c r="E84" s="13" t="s">
        <v>123</v>
      </c>
      <c r="F84" s="5" t="s">
        <v>0</v>
      </c>
      <c r="G84" s="5" t="s">
        <v>0</v>
      </c>
      <c r="H84" s="5" t="s">
        <v>438</v>
      </c>
    </row>
    <row r="85" spans="1:8" ht="12.5">
      <c r="A85" s="4">
        <v>29484</v>
      </c>
      <c r="B85" s="5" t="s">
        <v>15</v>
      </c>
      <c r="D85" s="40" t="e">
        <f t="shared" ca="1" si="4"/>
        <v>#NAME?</v>
      </c>
      <c r="E85" s="7" t="s">
        <v>26</v>
      </c>
      <c r="F85" s="5" t="s">
        <v>3</v>
      </c>
      <c r="G85" s="5" t="s">
        <v>3</v>
      </c>
      <c r="H85" s="5" t="s">
        <v>438</v>
      </c>
    </row>
    <row r="86" spans="1:8" ht="12.5">
      <c r="A86" s="4">
        <v>29486</v>
      </c>
      <c r="B86" s="5" t="s">
        <v>15</v>
      </c>
      <c r="D86" s="40" t="e">
        <f t="shared" ca="1" si="4"/>
        <v>#NAME?</v>
      </c>
      <c r="E86" s="13" t="s">
        <v>27</v>
      </c>
      <c r="F86" s="5" t="s">
        <v>3</v>
      </c>
      <c r="G86" s="5" t="s">
        <v>3</v>
      </c>
      <c r="H86" s="5" t="s">
        <v>438</v>
      </c>
    </row>
    <row r="87" spans="1:8" ht="12.5">
      <c r="A87" s="4">
        <v>29983</v>
      </c>
      <c r="B87" s="5" t="s">
        <v>15</v>
      </c>
      <c r="D87" s="40" t="e">
        <f t="shared" ca="1" si="4"/>
        <v>#NAME?</v>
      </c>
      <c r="E87" s="7" t="s">
        <v>28</v>
      </c>
      <c r="F87" s="5" t="s">
        <v>0</v>
      </c>
      <c r="G87" s="5" t="s">
        <v>5</v>
      </c>
      <c r="H87" s="5" t="s">
        <v>3</v>
      </c>
    </row>
    <row r="88" spans="1:8" ht="12.5">
      <c r="A88" s="4">
        <v>30061</v>
      </c>
      <c r="B88" s="5" t="s">
        <v>15</v>
      </c>
      <c r="D88" s="40" t="e">
        <f t="shared" ca="1" si="4"/>
        <v>#NAME?</v>
      </c>
      <c r="E88" s="13" t="s">
        <v>147</v>
      </c>
      <c r="F88" s="5" t="s">
        <v>3</v>
      </c>
      <c r="G88" s="5" t="s">
        <v>0</v>
      </c>
      <c r="H88" s="5" t="s">
        <v>0</v>
      </c>
    </row>
    <row r="89" spans="1:8" ht="12.5">
      <c r="A89" s="4">
        <v>30112</v>
      </c>
      <c r="B89" s="5" t="s">
        <v>15</v>
      </c>
      <c r="D89" s="40" t="e">
        <f t="shared" ca="1" si="4"/>
        <v>#NAME?</v>
      </c>
      <c r="E89" s="7" t="s">
        <v>31</v>
      </c>
      <c r="F89" s="5" t="s">
        <v>3</v>
      </c>
      <c r="G89" s="5" t="s">
        <v>5</v>
      </c>
      <c r="H89" s="5" t="s">
        <v>438</v>
      </c>
    </row>
    <row r="90" spans="1:8" ht="12.5">
      <c r="A90" s="4">
        <v>30538</v>
      </c>
      <c r="B90" s="5" t="s">
        <v>15</v>
      </c>
      <c r="D90" s="40" t="e">
        <f t="shared" ca="1" si="4"/>
        <v>#NAME?</v>
      </c>
      <c r="E90" s="13" t="s">
        <v>32</v>
      </c>
      <c r="F90" s="5" t="s">
        <v>3</v>
      </c>
      <c r="G90" s="5" t="s">
        <v>3</v>
      </c>
      <c r="H90" s="5" t="s">
        <v>438</v>
      </c>
    </row>
    <row r="91" spans="1:8" ht="12.5">
      <c r="A91" s="4">
        <v>31614</v>
      </c>
      <c r="B91" s="5" t="s">
        <v>15</v>
      </c>
      <c r="D91" s="40" t="e">
        <f t="shared" ca="1" si="4"/>
        <v>#NAME?</v>
      </c>
      <c r="E91" s="7" t="s">
        <v>150</v>
      </c>
      <c r="F91" s="5" t="s">
        <v>0</v>
      </c>
      <c r="G91" s="5" t="s">
        <v>0</v>
      </c>
      <c r="H91" s="5" t="s">
        <v>438</v>
      </c>
    </row>
    <row r="92" spans="1:8" ht="12.5">
      <c r="A92" s="4">
        <v>31666</v>
      </c>
      <c r="B92" s="5" t="s">
        <v>15</v>
      </c>
      <c r="D92" s="40" t="e">
        <f t="shared" ca="1" si="4"/>
        <v>#NAME?</v>
      </c>
      <c r="E92" s="13" t="s">
        <v>153</v>
      </c>
      <c r="F92" s="5" t="s">
        <v>0</v>
      </c>
      <c r="G92" s="5" t="s">
        <v>0</v>
      </c>
      <c r="H92" s="5" t="s">
        <v>438</v>
      </c>
    </row>
    <row r="93" spans="1:8" ht="12.5">
      <c r="A93" s="4">
        <v>34041</v>
      </c>
      <c r="B93" s="5" t="s">
        <v>15</v>
      </c>
      <c r="D93" s="40" t="e">
        <f t="shared" ca="1" si="4"/>
        <v>#NAME?</v>
      </c>
      <c r="E93" s="7" t="s">
        <v>159</v>
      </c>
      <c r="F93" s="5" t="s">
        <v>5</v>
      </c>
      <c r="G93" s="5" t="s">
        <v>0</v>
      </c>
      <c r="H93" s="5" t="s">
        <v>0</v>
      </c>
    </row>
    <row r="94" spans="1:8" ht="12.5">
      <c r="A94" s="4">
        <v>35439</v>
      </c>
      <c r="B94" s="5" t="s">
        <v>15</v>
      </c>
      <c r="D94" s="40" t="e">
        <f t="shared" ca="1" si="4"/>
        <v>#NAME?</v>
      </c>
      <c r="E94" s="13" t="s">
        <v>39</v>
      </c>
      <c r="F94" s="5" t="s">
        <v>5</v>
      </c>
      <c r="G94" s="5" t="s">
        <v>3</v>
      </c>
      <c r="H94" s="5" t="s">
        <v>438</v>
      </c>
    </row>
    <row r="95" spans="1:8" ht="12.5">
      <c r="A95" s="4">
        <v>341782</v>
      </c>
      <c r="B95" s="5" t="s">
        <v>19</v>
      </c>
      <c r="D95" s="41" t="e">
        <f t="shared" ref="D95:D117" ca="1" si="5">_xludf.CONCAT("https://softwareengineering.stackexchange.com/questions/",A95)</f>
        <v>#NAME?</v>
      </c>
      <c r="E95" s="7" t="s">
        <v>41</v>
      </c>
      <c r="F95" s="5" t="s">
        <v>3</v>
      </c>
      <c r="G95" s="5" t="s">
        <v>3</v>
      </c>
      <c r="H95" s="5" t="s">
        <v>438</v>
      </c>
    </row>
    <row r="96" spans="1:8" ht="12.5">
      <c r="A96" s="4">
        <v>343411</v>
      </c>
      <c r="B96" s="5" t="s">
        <v>19</v>
      </c>
      <c r="D96" s="41" t="e">
        <f t="shared" ca="1" si="5"/>
        <v>#NAME?</v>
      </c>
      <c r="E96" s="13" t="s">
        <v>42</v>
      </c>
      <c r="F96" s="5" t="s">
        <v>3</v>
      </c>
      <c r="G96" s="5" t="s">
        <v>3</v>
      </c>
      <c r="H96" s="5" t="s">
        <v>438</v>
      </c>
    </row>
    <row r="97" spans="1:8" ht="12.5">
      <c r="A97" s="4">
        <v>348860</v>
      </c>
      <c r="B97" s="5" t="s">
        <v>19</v>
      </c>
      <c r="D97" s="41" t="e">
        <f t="shared" ca="1" si="5"/>
        <v>#NAME?</v>
      </c>
      <c r="E97" s="7" t="s">
        <v>43</v>
      </c>
      <c r="F97" s="5" t="s">
        <v>3</v>
      </c>
      <c r="G97" s="5" t="s">
        <v>5</v>
      </c>
      <c r="H97" s="5" t="s">
        <v>438</v>
      </c>
    </row>
    <row r="98" spans="1:8" ht="12.5">
      <c r="A98" s="4">
        <v>352036</v>
      </c>
      <c r="B98" s="5" t="s">
        <v>19</v>
      </c>
      <c r="D98" s="41" t="e">
        <f t="shared" ca="1" si="5"/>
        <v>#NAME?</v>
      </c>
      <c r="E98" s="13" t="s">
        <v>44</v>
      </c>
      <c r="F98" s="5" t="s">
        <v>5</v>
      </c>
      <c r="G98" s="5" t="s">
        <v>5</v>
      </c>
      <c r="H98" s="5" t="s">
        <v>438</v>
      </c>
    </row>
    <row r="99" spans="1:8" ht="12.5">
      <c r="A99" s="4">
        <v>354302</v>
      </c>
      <c r="B99" s="5" t="s">
        <v>19</v>
      </c>
      <c r="D99" s="41" t="e">
        <f t="shared" ca="1" si="5"/>
        <v>#NAME?</v>
      </c>
      <c r="E99" s="7" t="s">
        <v>95</v>
      </c>
      <c r="F99" s="5" t="s">
        <v>0</v>
      </c>
      <c r="G99" s="5" t="s">
        <v>5</v>
      </c>
      <c r="H99" s="5" t="s">
        <v>0</v>
      </c>
    </row>
    <row r="100" spans="1:8" ht="12.5">
      <c r="A100" s="4">
        <v>357368</v>
      </c>
      <c r="B100" s="5" t="s">
        <v>19</v>
      </c>
      <c r="D100" s="41" t="e">
        <f t="shared" ca="1" si="5"/>
        <v>#NAME?</v>
      </c>
      <c r="E100" s="13" t="s">
        <v>47</v>
      </c>
      <c r="F100" s="5" t="s">
        <v>3</v>
      </c>
      <c r="G100" s="5" t="s">
        <v>3</v>
      </c>
      <c r="H100" s="5" t="s">
        <v>438</v>
      </c>
    </row>
    <row r="101" spans="1:8" ht="12.5">
      <c r="A101" s="4">
        <v>368658</v>
      </c>
      <c r="B101" s="5" t="s">
        <v>19</v>
      </c>
      <c r="D101" s="41" t="e">
        <f t="shared" ca="1" si="5"/>
        <v>#NAME?</v>
      </c>
      <c r="E101" s="7" t="s">
        <v>48</v>
      </c>
      <c r="F101" s="5" t="s">
        <v>3</v>
      </c>
      <c r="G101" s="5" t="s">
        <v>5</v>
      </c>
      <c r="H101" s="5" t="s">
        <v>438</v>
      </c>
    </row>
    <row r="102" spans="1:8" ht="12.5">
      <c r="A102" s="4">
        <v>373686</v>
      </c>
      <c r="B102" s="5" t="s">
        <v>19</v>
      </c>
      <c r="D102" s="41" t="e">
        <f t="shared" ca="1" si="5"/>
        <v>#NAME?</v>
      </c>
      <c r="E102" s="13" t="s">
        <v>49</v>
      </c>
      <c r="F102" s="5" t="s">
        <v>5</v>
      </c>
      <c r="G102" s="5" t="s">
        <v>3</v>
      </c>
      <c r="H102" s="5" t="s">
        <v>438</v>
      </c>
    </row>
    <row r="103" spans="1:8" ht="12.5">
      <c r="A103" s="4">
        <v>385949</v>
      </c>
      <c r="B103" s="5" t="s">
        <v>19</v>
      </c>
      <c r="D103" s="41" t="e">
        <f t="shared" ca="1" si="5"/>
        <v>#NAME?</v>
      </c>
      <c r="E103" s="15" t="s">
        <v>50</v>
      </c>
      <c r="F103" s="5" t="s">
        <v>0</v>
      </c>
      <c r="G103" s="5" t="s">
        <v>5</v>
      </c>
      <c r="H103" s="5" t="s">
        <v>5</v>
      </c>
    </row>
    <row r="104" spans="1:8" ht="12.5">
      <c r="A104" s="4">
        <v>386016</v>
      </c>
      <c r="B104" s="5" t="s">
        <v>19</v>
      </c>
      <c r="D104" s="41" t="e">
        <f t="shared" ca="1" si="5"/>
        <v>#NAME?</v>
      </c>
      <c r="E104" s="13" t="s">
        <v>51</v>
      </c>
      <c r="F104" s="5" t="s">
        <v>3</v>
      </c>
      <c r="G104" s="5" t="s">
        <v>3</v>
      </c>
      <c r="H104" s="5" t="s">
        <v>438</v>
      </c>
    </row>
    <row r="105" spans="1:8" ht="12.5">
      <c r="A105" s="4">
        <v>388522</v>
      </c>
      <c r="B105" s="5" t="s">
        <v>19</v>
      </c>
      <c r="D105" s="41" t="e">
        <f t="shared" ca="1" si="5"/>
        <v>#NAME?</v>
      </c>
      <c r="E105" s="7" t="s">
        <v>52</v>
      </c>
      <c r="F105" s="5" t="s">
        <v>3</v>
      </c>
      <c r="G105" s="5" t="s">
        <v>3</v>
      </c>
      <c r="H105" s="5" t="s">
        <v>438</v>
      </c>
    </row>
    <row r="106" spans="1:8" ht="12.5">
      <c r="A106" s="4">
        <v>389899</v>
      </c>
      <c r="B106" s="5" t="s">
        <v>19</v>
      </c>
      <c r="D106" s="41" t="e">
        <f t="shared" ca="1" si="5"/>
        <v>#NAME?</v>
      </c>
      <c r="E106" s="5" t="s">
        <v>53</v>
      </c>
      <c r="F106" s="5" t="s">
        <v>3</v>
      </c>
      <c r="G106" s="5" t="s">
        <v>3</v>
      </c>
      <c r="H106" s="5" t="s">
        <v>438</v>
      </c>
    </row>
    <row r="107" spans="1:8" ht="12.5">
      <c r="A107" s="4">
        <v>392860</v>
      </c>
      <c r="B107" s="5" t="s">
        <v>19</v>
      </c>
      <c r="D107" s="41" t="e">
        <f t="shared" ca="1" si="5"/>
        <v>#NAME?</v>
      </c>
      <c r="E107" s="7" t="s">
        <v>124</v>
      </c>
      <c r="F107" s="5" t="s">
        <v>0</v>
      </c>
      <c r="G107" s="5" t="s">
        <v>0</v>
      </c>
      <c r="H107" s="5" t="s">
        <v>438</v>
      </c>
    </row>
    <row r="108" spans="1:8" ht="12.5">
      <c r="A108" s="4">
        <v>396625</v>
      </c>
      <c r="B108" s="5" t="s">
        <v>19</v>
      </c>
      <c r="D108" s="41" t="e">
        <f t="shared" ca="1" si="5"/>
        <v>#NAME?</v>
      </c>
      <c r="E108" s="13" t="s">
        <v>130</v>
      </c>
      <c r="F108" s="5" t="s">
        <v>0</v>
      </c>
      <c r="G108" s="5" t="s">
        <v>5</v>
      </c>
      <c r="H108" s="5" t="s">
        <v>0</v>
      </c>
    </row>
    <row r="109" spans="1:8" ht="12.5">
      <c r="A109" s="4">
        <v>398317</v>
      </c>
      <c r="B109" s="5" t="s">
        <v>19</v>
      </c>
      <c r="D109" s="41" t="e">
        <f t="shared" ca="1" si="5"/>
        <v>#NAME?</v>
      </c>
      <c r="E109" s="7" t="s">
        <v>134</v>
      </c>
      <c r="F109" s="5" t="s">
        <v>0</v>
      </c>
      <c r="G109" s="5" t="s">
        <v>0</v>
      </c>
      <c r="H109" s="5" t="s">
        <v>438</v>
      </c>
    </row>
    <row r="110" spans="1:8" ht="12.5">
      <c r="A110" s="4">
        <v>403583</v>
      </c>
      <c r="B110" s="5" t="s">
        <v>19</v>
      </c>
      <c r="D110" s="41" t="e">
        <f t="shared" ca="1" si="5"/>
        <v>#NAME?</v>
      </c>
      <c r="E110" s="13" t="s">
        <v>148</v>
      </c>
      <c r="F110" s="5" t="s">
        <v>0</v>
      </c>
      <c r="G110" s="5" t="s">
        <v>0</v>
      </c>
      <c r="H110" s="5" t="s">
        <v>438</v>
      </c>
    </row>
    <row r="111" spans="1:8" ht="12.5">
      <c r="A111" s="4">
        <v>409682</v>
      </c>
      <c r="B111" s="5" t="s">
        <v>19</v>
      </c>
      <c r="D111" s="41" t="e">
        <f t="shared" ca="1" si="5"/>
        <v>#NAME?</v>
      </c>
      <c r="E111" s="7" t="s">
        <v>59</v>
      </c>
      <c r="F111" s="5" t="s">
        <v>5</v>
      </c>
      <c r="G111" s="5" t="s">
        <v>3</v>
      </c>
      <c r="H111" s="5" t="s">
        <v>438</v>
      </c>
    </row>
    <row r="112" spans="1:8" ht="12.5">
      <c r="A112" s="4">
        <v>410482</v>
      </c>
      <c r="B112" s="5" t="s">
        <v>19</v>
      </c>
      <c r="D112" s="41" t="e">
        <f t="shared" ca="1" si="5"/>
        <v>#NAME?</v>
      </c>
      <c r="E112" s="13" t="s">
        <v>60</v>
      </c>
      <c r="F112" s="5" t="s">
        <v>3</v>
      </c>
      <c r="G112" s="5" t="s">
        <v>3</v>
      </c>
      <c r="H112" s="5" t="s">
        <v>438</v>
      </c>
    </row>
    <row r="113" spans="1:8" ht="12.5">
      <c r="A113" s="4">
        <v>429489</v>
      </c>
      <c r="B113" s="5" t="s">
        <v>19</v>
      </c>
      <c r="D113" s="41" t="e">
        <f t="shared" ca="1" si="5"/>
        <v>#NAME?</v>
      </c>
      <c r="E113" s="7" t="s">
        <v>61</v>
      </c>
      <c r="F113" s="5" t="s">
        <v>4</v>
      </c>
      <c r="G113" s="5" t="s">
        <v>3</v>
      </c>
      <c r="H113" s="5" t="s">
        <v>438</v>
      </c>
    </row>
    <row r="114" spans="1:8" ht="12.5">
      <c r="A114" s="4">
        <v>429954</v>
      </c>
      <c r="B114" s="5" t="s">
        <v>19</v>
      </c>
      <c r="D114" s="41" t="e">
        <f t="shared" ca="1" si="5"/>
        <v>#NAME?</v>
      </c>
      <c r="E114" s="13" t="s">
        <v>62</v>
      </c>
      <c r="F114" s="5" t="s">
        <v>3</v>
      </c>
      <c r="G114" s="5" t="s">
        <v>3</v>
      </c>
      <c r="H114" s="5" t="s">
        <v>438</v>
      </c>
    </row>
    <row r="115" spans="1:8" ht="12.5">
      <c r="A115" s="4">
        <v>433122</v>
      </c>
      <c r="B115" s="5" t="s">
        <v>19</v>
      </c>
      <c r="D115" s="41" t="e">
        <f t="shared" ca="1" si="5"/>
        <v>#NAME?</v>
      </c>
      <c r="E115" s="7" t="s">
        <v>63</v>
      </c>
      <c r="F115" s="5" t="s">
        <v>3</v>
      </c>
      <c r="G115" s="5" t="s">
        <v>3</v>
      </c>
      <c r="H115" s="5" t="s">
        <v>438</v>
      </c>
    </row>
    <row r="116" spans="1:8" ht="12.5">
      <c r="A116" s="4">
        <v>441034</v>
      </c>
      <c r="B116" s="5" t="s">
        <v>19</v>
      </c>
      <c r="D116" s="41" t="e">
        <f t="shared" ca="1" si="5"/>
        <v>#NAME?</v>
      </c>
      <c r="E116" s="13" t="s">
        <v>64</v>
      </c>
      <c r="F116" s="5" t="s">
        <v>5</v>
      </c>
      <c r="G116" s="5" t="s">
        <v>5</v>
      </c>
      <c r="H116" s="5" t="s">
        <v>438</v>
      </c>
    </row>
    <row r="117" spans="1:8" ht="12.5">
      <c r="A117" s="4">
        <v>455542</v>
      </c>
      <c r="B117" s="5" t="s">
        <v>19</v>
      </c>
      <c r="D117" s="41" t="e">
        <f t="shared" ca="1" si="5"/>
        <v>#NAME?</v>
      </c>
      <c r="E117" s="7" t="s">
        <v>65</v>
      </c>
      <c r="F117" s="5" t="s">
        <v>0</v>
      </c>
      <c r="G117" s="5" t="s">
        <v>3</v>
      </c>
      <c r="H117" s="5" t="s">
        <v>3</v>
      </c>
    </row>
  </sheetData>
  <autoFilter ref="A1:H117" xr:uid="{00000000-0009-0000-0000-000007000000}"/>
  <dataValidations count="1">
    <dataValidation type="list" allowBlank="1" showErrorMessage="1" sqref="F2:G3 F4:H4 F5:G6 F7:H7 F8:G9 F10:H10 F11:G17 F18:H19 F20:G20 F21:H21 F22:G22 F23:H23 F24:G28 F29:H30 F31:G35 F36:H36 F37:G40 F41:H41 F42:G59 F60:H60 F61:G65 F66:H66 F67:G67 F68:H69 F70:G73 F74:H74 F75:G79 F80:H80 F81:G81 F82:H82 F83:G86 F87:H88 F89:G92 F93:H93 F94:G98 F99:H99 F100:G102 F103:H103 F104:G107 F108:H108 F109:G116 F117:H117" xr:uid="{00000000-0002-0000-0700-000000000000}">
      <formula1>"CA: Discussão apta para análise (discussão que aborda problemas com user stories),CE1: Discussão Incompleta: sem resposta ou tem somente uma resposta cujo o autor é o mesmo da pergunta,CE2: Score igual ou menor que zero,CE3: Discussão que NÃO aborda probl"&amp;"emas com user stories,CE4: Discussão em um contexto fora da indústria (empresa, equipe, projeto para indústria),CE5: Discussão que NÃO aborda um problema real relacionado à utilização de user stories."</formula1>
    </dataValidation>
  </dataValidations>
  <hyperlinks>
    <hyperlink ref="D2" r:id="rId1" xr:uid="{00000000-0004-0000-0700-000000000000}"/>
    <hyperlink ref="E2" r:id="rId2" xr:uid="{00000000-0004-0000-0700-000001000000}"/>
    <hyperlink ref="D3" r:id="rId3" xr:uid="{00000000-0004-0000-0700-000002000000}"/>
    <hyperlink ref="E3" r:id="rId4" xr:uid="{00000000-0004-0000-0700-000003000000}"/>
    <hyperlink ref="D4" r:id="rId5" xr:uid="{00000000-0004-0000-0700-000004000000}"/>
    <hyperlink ref="E4" r:id="rId6" xr:uid="{00000000-0004-0000-0700-000005000000}"/>
    <hyperlink ref="D5" r:id="rId7" xr:uid="{00000000-0004-0000-0700-000006000000}"/>
    <hyperlink ref="E5" r:id="rId8" xr:uid="{00000000-0004-0000-0700-000007000000}"/>
    <hyperlink ref="D6" r:id="rId9" xr:uid="{00000000-0004-0000-0700-000008000000}"/>
    <hyperlink ref="E6" r:id="rId10" xr:uid="{00000000-0004-0000-0700-000009000000}"/>
    <hyperlink ref="D7" r:id="rId11" xr:uid="{00000000-0004-0000-0700-00000A000000}"/>
    <hyperlink ref="E7" r:id="rId12" xr:uid="{00000000-0004-0000-0700-00000B000000}"/>
    <hyperlink ref="D8" r:id="rId13" xr:uid="{00000000-0004-0000-0700-00000C000000}"/>
    <hyperlink ref="E8" r:id="rId14" xr:uid="{00000000-0004-0000-0700-00000D000000}"/>
    <hyperlink ref="D9" r:id="rId15" xr:uid="{00000000-0004-0000-0700-00000E000000}"/>
    <hyperlink ref="E9" r:id="rId16" xr:uid="{00000000-0004-0000-0700-00000F000000}"/>
    <hyperlink ref="D10" r:id="rId17" xr:uid="{00000000-0004-0000-0700-000010000000}"/>
    <hyperlink ref="E10" r:id="rId18" xr:uid="{00000000-0004-0000-0700-000011000000}"/>
    <hyperlink ref="D11" r:id="rId19" xr:uid="{00000000-0004-0000-0700-000012000000}"/>
    <hyperlink ref="E11" r:id="rId20" xr:uid="{00000000-0004-0000-0700-000013000000}"/>
    <hyperlink ref="D12" r:id="rId21" xr:uid="{00000000-0004-0000-0700-000014000000}"/>
    <hyperlink ref="E12" r:id="rId22" xr:uid="{00000000-0004-0000-0700-000015000000}"/>
    <hyperlink ref="D13" r:id="rId23" xr:uid="{00000000-0004-0000-0700-000016000000}"/>
    <hyperlink ref="E13" r:id="rId24" xr:uid="{00000000-0004-0000-0700-000017000000}"/>
    <hyperlink ref="D14" r:id="rId25" xr:uid="{00000000-0004-0000-0700-000018000000}"/>
    <hyperlink ref="D15" r:id="rId26" xr:uid="{00000000-0004-0000-0700-000019000000}"/>
    <hyperlink ref="E15" r:id="rId27" xr:uid="{00000000-0004-0000-0700-00001A000000}"/>
    <hyperlink ref="D16" r:id="rId28" xr:uid="{00000000-0004-0000-0700-00001B000000}"/>
    <hyperlink ref="E16" r:id="rId29" xr:uid="{00000000-0004-0000-0700-00001C000000}"/>
    <hyperlink ref="D17" r:id="rId30" xr:uid="{00000000-0004-0000-0700-00001D000000}"/>
    <hyperlink ref="E17" r:id="rId31" xr:uid="{00000000-0004-0000-0700-00001E000000}"/>
    <hyperlink ref="D18" r:id="rId32" xr:uid="{00000000-0004-0000-0700-00001F000000}"/>
    <hyperlink ref="E18" r:id="rId33" xr:uid="{00000000-0004-0000-0700-000020000000}"/>
    <hyperlink ref="D19" r:id="rId34" xr:uid="{00000000-0004-0000-0700-000021000000}"/>
    <hyperlink ref="E19" r:id="rId35" xr:uid="{00000000-0004-0000-0700-000022000000}"/>
    <hyperlink ref="D20" r:id="rId36" xr:uid="{00000000-0004-0000-0700-000023000000}"/>
    <hyperlink ref="E20" r:id="rId37" xr:uid="{00000000-0004-0000-0700-000024000000}"/>
  </hyperlinks>
  <pageMargins left="0.511811024" right="0.511811024" top="0.78740157499999996" bottom="0.78740157499999996" header="0.31496062000000002" footer="0.31496062000000002"/>
  <drawing r:id="rId3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43"/>
  <sheetViews>
    <sheetView topLeftCell="E1" workbookViewId="0">
      <pane ySplit="1" topLeftCell="A2" activePane="bottomLeft" state="frozen"/>
      <selection pane="bottomLeft" activeCell="AA1" sqref="AA1"/>
    </sheetView>
  </sheetViews>
  <sheetFormatPr defaultColWidth="12.6328125" defaultRowHeight="15.75" customHeight="1"/>
  <cols>
    <col min="10" max="11" width="12.6328125" hidden="1"/>
    <col min="12" max="13" width="34.08984375" customWidth="1"/>
    <col min="15" max="15" width="25.08984375" customWidth="1"/>
  </cols>
  <sheetData>
    <row r="1" spans="1:25" ht="12.5">
      <c r="A1" s="5" t="s">
        <v>6</v>
      </c>
      <c r="B1" s="5" t="s">
        <v>7</v>
      </c>
      <c r="C1" s="5" t="s">
        <v>8</v>
      </c>
      <c r="D1" s="5" t="s">
        <v>9</v>
      </c>
      <c r="E1" s="5" t="s">
        <v>10</v>
      </c>
      <c r="F1" s="5" t="s">
        <v>11</v>
      </c>
      <c r="G1" s="5" t="s">
        <v>12</v>
      </c>
      <c r="H1" s="5" t="s">
        <v>13</v>
      </c>
      <c r="I1" s="5" t="s">
        <v>14</v>
      </c>
      <c r="J1" s="5" t="s">
        <v>435</v>
      </c>
      <c r="K1" s="5" t="s">
        <v>436</v>
      </c>
      <c r="L1" s="42" t="s">
        <v>491</v>
      </c>
      <c r="M1" s="42" t="s">
        <v>492</v>
      </c>
      <c r="N1" s="5" t="s">
        <v>160</v>
      </c>
      <c r="O1" s="42" t="s">
        <v>493</v>
      </c>
      <c r="P1" s="5" t="s">
        <v>161</v>
      </c>
      <c r="Q1" s="42" t="s">
        <v>494</v>
      </c>
      <c r="R1" s="5" t="s">
        <v>162</v>
      </c>
      <c r="S1" s="42" t="s">
        <v>495</v>
      </c>
      <c r="T1" s="5" t="s">
        <v>163</v>
      </c>
      <c r="U1" s="42" t="s">
        <v>496</v>
      </c>
      <c r="V1" s="42" t="s">
        <v>497</v>
      </c>
      <c r="W1" s="5" t="s">
        <v>164</v>
      </c>
      <c r="X1" s="42" t="s">
        <v>498</v>
      </c>
      <c r="Y1" s="5" t="s">
        <v>437</v>
      </c>
    </row>
    <row r="2" spans="1:25" ht="12.5">
      <c r="A2" s="5">
        <v>25637</v>
      </c>
      <c r="B2" s="5" t="s">
        <v>15</v>
      </c>
      <c r="D2" s="5" t="s">
        <v>16</v>
      </c>
      <c r="E2" s="5" t="s">
        <v>139</v>
      </c>
      <c r="F2" s="5" t="s">
        <v>0</v>
      </c>
      <c r="G2" s="5">
        <v>2019</v>
      </c>
      <c r="H2" s="5">
        <v>2019</v>
      </c>
      <c r="I2" s="5" t="s">
        <v>140</v>
      </c>
      <c r="J2" s="5" t="s">
        <v>318</v>
      </c>
      <c r="K2" s="5" t="s">
        <v>415</v>
      </c>
      <c r="L2" s="5" t="s">
        <v>499</v>
      </c>
      <c r="M2" s="5" t="s">
        <v>500</v>
      </c>
      <c r="N2" s="5" t="s">
        <v>319</v>
      </c>
      <c r="O2" s="5" t="s">
        <v>501</v>
      </c>
      <c r="P2" s="5" t="s">
        <v>320</v>
      </c>
      <c r="Q2" s="5" t="s">
        <v>289</v>
      </c>
      <c r="R2" s="5" t="s">
        <v>320</v>
      </c>
      <c r="S2" s="5" t="s">
        <v>501</v>
      </c>
      <c r="T2" s="5" t="s">
        <v>236</v>
      </c>
      <c r="U2" s="5" t="s">
        <v>502</v>
      </c>
      <c r="V2" s="5" t="s">
        <v>503</v>
      </c>
      <c r="W2" s="5" t="s">
        <v>321</v>
      </c>
      <c r="X2" s="5" t="s">
        <v>504</v>
      </c>
      <c r="Y2" s="5" t="s">
        <v>416</v>
      </c>
    </row>
    <row r="3" spans="1:25" ht="12.5">
      <c r="A3" s="5">
        <v>18301</v>
      </c>
      <c r="B3" s="5" t="s">
        <v>15</v>
      </c>
      <c r="D3" s="5" t="s">
        <v>16</v>
      </c>
      <c r="E3" s="5" t="s">
        <v>92</v>
      </c>
      <c r="F3" s="5" t="s">
        <v>0</v>
      </c>
      <c r="G3" s="5">
        <v>2016</v>
      </c>
      <c r="H3" s="5">
        <v>2016</v>
      </c>
      <c r="I3" s="5" t="s">
        <v>93</v>
      </c>
      <c r="J3" s="5" t="s">
        <v>264</v>
      </c>
      <c r="K3" s="5" t="s">
        <v>393</v>
      </c>
      <c r="L3" s="5" t="s">
        <v>499</v>
      </c>
      <c r="M3" s="5" t="s">
        <v>500</v>
      </c>
      <c r="N3" s="5" t="s">
        <v>265</v>
      </c>
      <c r="O3" s="5" t="s">
        <v>394</v>
      </c>
      <c r="P3" s="5" t="s">
        <v>266</v>
      </c>
      <c r="Q3" s="5" t="s">
        <v>501</v>
      </c>
      <c r="R3" s="5" t="s">
        <v>236</v>
      </c>
      <c r="S3" s="5" t="s">
        <v>501</v>
      </c>
      <c r="T3" s="5" t="s">
        <v>236</v>
      </c>
      <c r="U3" s="5" t="s">
        <v>505</v>
      </c>
      <c r="V3" s="5" t="s">
        <v>506</v>
      </c>
      <c r="W3" s="5" t="s">
        <v>267</v>
      </c>
      <c r="Y3" s="5" t="s">
        <v>268</v>
      </c>
    </row>
    <row r="4" spans="1:25" ht="12.5">
      <c r="A4" s="5">
        <v>31614</v>
      </c>
      <c r="B4" s="5" t="s">
        <v>15</v>
      </c>
      <c r="D4" s="5" t="s">
        <v>16</v>
      </c>
      <c r="E4" s="5" t="s">
        <v>150</v>
      </c>
      <c r="F4" s="5" t="s">
        <v>0</v>
      </c>
      <c r="G4" s="5">
        <v>2021</v>
      </c>
      <c r="H4" s="5">
        <v>2021</v>
      </c>
      <c r="I4" s="5" t="s">
        <v>21</v>
      </c>
      <c r="J4" s="5" t="s">
        <v>340</v>
      </c>
      <c r="K4" s="5" t="s">
        <v>426</v>
      </c>
      <c r="L4" s="5" t="s">
        <v>507</v>
      </c>
      <c r="M4" s="5" t="s">
        <v>500</v>
      </c>
      <c r="N4" s="5" t="s">
        <v>341</v>
      </c>
      <c r="O4" s="5" t="s">
        <v>167</v>
      </c>
      <c r="P4" s="5" t="s">
        <v>342</v>
      </c>
      <c r="Q4" s="5" t="s">
        <v>169</v>
      </c>
      <c r="R4" s="5" t="s">
        <v>343</v>
      </c>
      <c r="S4" s="5" t="s">
        <v>501</v>
      </c>
      <c r="T4" s="5" t="s">
        <v>236</v>
      </c>
      <c r="U4" s="5" t="s">
        <v>508</v>
      </c>
      <c r="V4" s="5" t="s">
        <v>506</v>
      </c>
      <c r="W4" s="5" t="s">
        <v>344</v>
      </c>
      <c r="Y4" s="5" t="s">
        <v>427</v>
      </c>
    </row>
    <row r="5" spans="1:25" ht="12.5">
      <c r="A5" s="5">
        <v>11247</v>
      </c>
      <c r="B5" s="5" t="s">
        <v>15</v>
      </c>
      <c r="D5" s="5" t="s">
        <v>16</v>
      </c>
      <c r="E5" s="5" t="s">
        <v>70</v>
      </c>
      <c r="F5" s="5" t="s">
        <v>0</v>
      </c>
      <c r="G5" s="5">
        <v>2014</v>
      </c>
      <c r="H5" s="5">
        <v>2014</v>
      </c>
      <c r="I5" s="5" t="s">
        <v>21</v>
      </c>
      <c r="J5" s="5" t="s">
        <v>238</v>
      </c>
      <c r="K5" s="5" t="s">
        <v>385</v>
      </c>
      <c r="L5" s="5" t="s">
        <v>509</v>
      </c>
      <c r="M5" s="5" t="s">
        <v>500</v>
      </c>
      <c r="N5" s="5" t="s">
        <v>239</v>
      </c>
      <c r="O5" s="5" t="s">
        <v>167</v>
      </c>
      <c r="P5" s="5" t="s">
        <v>240</v>
      </c>
      <c r="Q5" s="5" t="s">
        <v>366</v>
      </c>
      <c r="R5" s="5" t="s">
        <v>241</v>
      </c>
      <c r="S5" s="5" t="s">
        <v>501</v>
      </c>
      <c r="T5" s="5" t="s">
        <v>236</v>
      </c>
      <c r="U5" s="5" t="s">
        <v>510</v>
      </c>
      <c r="V5" s="5" t="s">
        <v>511</v>
      </c>
      <c r="W5" s="5" t="s">
        <v>242</v>
      </c>
      <c r="X5" s="5" t="s">
        <v>512</v>
      </c>
      <c r="Y5" s="5" t="s">
        <v>452</v>
      </c>
    </row>
    <row r="6" spans="1:25" ht="12.5">
      <c r="A6" s="5">
        <v>240325</v>
      </c>
      <c r="B6" s="5" t="s">
        <v>19</v>
      </c>
      <c r="D6" s="5" t="s">
        <v>18</v>
      </c>
      <c r="E6" s="5" t="s">
        <v>68</v>
      </c>
      <c r="F6" s="5" t="s">
        <v>0</v>
      </c>
      <c r="G6" s="5">
        <v>2014</v>
      </c>
      <c r="H6" s="5">
        <v>2014</v>
      </c>
      <c r="I6" s="5" t="s">
        <v>69</v>
      </c>
      <c r="J6" s="5" t="s">
        <v>232</v>
      </c>
      <c r="K6" s="5" t="s">
        <v>384</v>
      </c>
      <c r="L6" s="5" t="s">
        <v>513</v>
      </c>
      <c r="M6" s="5" t="s">
        <v>514</v>
      </c>
      <c r="N6" s="5" t="s">
        <v>233</v>
      </c>
      <c r="O6" s="5" t="s">
        <v>167</v>
      </c>
      <c r="P6" s="5" t="s">
        <v>234</v>
      </c>
      <c r="Q6" s="5" t="s">
        <v>289</v>
      </c>
      <c r="R6" s="5" t="s">
        <v>235</v>
      </c>
      <c r="S6" s="5" t="s">
        <v>501</v>
      </c>
      <c r="T6" s="5" t="s">
        <v>236</v>
      </c>
      <c r="U6" s="5" t="s">
        <v>515</v>
      </c>
      <c r="V6" s="5" t="s">
        <v>516</v>
      </c>
      <c r="W6" s="5" t="s">
        <v>237</v>
      </c>
      <c r="Y6" s="5" t="s">
        <v>451</v>
      </c>
    </row>
    <row r="7" spans="1:25" ht="12.5">
      <c r="A7" s="5">
        <v>396625</v>
      </c>
      <c r="B7" s="5" t="s">
        <v>19</v>
      </c>
      <c r="D7" s="5" t="s">
        <v>18</v>
      </c>
      <c r="E7" s="5" t="s">
        <v>130</v>
      </c>
      <c r="F7" s="5" t="s">
        <v>0</v>
      </c>
      <c r="G7" s="5">
        <v>2019</v>
      </c>
      <c r="H7" s="5">
        <v>2019</v>
      </c>
      <c r="I7" s="5" t="s">
        <v>21</v>
      </c>
      <c r="J7" s="5" t="s">
        <v>309</v>
      </c>
      <c r="K7" s="5" t="s">
        <v>411</v>
      </c>
      <c r="L7" s="5" t="s">
        <v>509</v>
      </c>
      <c r="M7" s="5" t="s">
        <v>500</v>
      </c>
      <c r="N7" s="5" t="s">
        <v>310</v>
      </c>
      <c r="O7" s="5" t="s">
        <v>501</v>
      </c>
      <c r="P7" s="5" t="s">
        <v>311</v>
      </c>
      <c r="Q7" s="5" t="s">
        <v>501</v>
      </c>
      <c r="R7" s="5" t="s">
        <v>312</v>
      </c>
      <c r="S7" s="5" t="s">
        <v>501</v>
      </c>
      <c r="T7" s="5" t="s">
        <v>236</v>
      </c>
      <c r="U7" s="5" t="s">
        <v>510</v>
      </c>
      <c r="V7" s="5" t="s">
        <v>511</v>
      </c>
      <c r="W7" s="5" t="s">
        <v>313</v>
      </c>
      <c r="X7" s="5" t="s">
        <v>517</v>
      </c>
      <c r="Y7" s="5" t="s">
        <v>412</v>
      </c>
    </row>
    <row r="8" spans="1:25" ht="12.5">
      <c r="A8" s="5">
        <v>323107</v>
      </c>
      <c r="B8" s="5" t="s">
        <v>19</v>
      </c>
      <c r="D8" s="5" t="s">
        <v>461</v>
      </c>
      <c r="E8" s="5" t="s">
        <v>88</v>
      </c>
      <c r="F8" s="5" t="s">
        <v>0</v>
      </c>
      <c r="G8" s="5">
        <v>2016</v>
      </c>
      <c r="H8" s="5">
        <v>2016</v>
      </c>
      <c r="I8" s="5" t="s">
        <v>89</v>
      </c>
      <c r="J8" s="5" t="s">
        <v>261</v>
      </c>
      <c r="K8" s="5" t="s">
        <v>390</v>
      </c>
      <c r="L8" s="5" t="s">
        <v>499</v>
      </c>
      <c r="M8" s="5" t="s">
        <v>500</v>
      </c>
      <c r="N8" s="5" t="s">
        <v>262</v>
      </c>
      <c r="O8" s="5" t="s">
        <v>167</v>
      </c>
      <c r="P8" s="5" t="s">
        <v>391</v>
      </c>
      <c r="Q8" s="5" t="s">
        <v>501</v>
      </c>
      <c r="R8" s="5" t="s">
        <v>236</v>
      </c>
      <c r="S8" s="5" t="s">
        <v>501</v>
      </c>
      <c r="T8" s="5" t="s">
        <v>236</v>
      </c>
      <c r="U8" s="5" t="s">
        <v>515</v>
      </c>
      <c r="V8" s="5" t="s">
        <v>516</v>
      </c>
      <c r="W8" s="5" t="s">
        <v>263</v>
      </c>
      <c r="Y8" s="5" t="s">
        <v>392</v>
      </c>
    </row>
    <row r="9" spans="1:25" ht="12.5">
      <c r="A9" s="5">
        <v>228110</v>
      </c>
      <c r="B9" s="5" t="s">
        <v>19</v>
      </c>
      <c r="D9" s="5" t="s">
        <v>18</v>
      </c>
      <c r="E9" s="5" t="s">
        <v>81</v>
      </c>
      <c r="F9" s="5" t="s">
        <v>0</v>
      </c>
      <c r="G9" s="5">
        <v>2014</v>
      </c>
      <c r="H9" s="5">
        <v>2015</v>
      </c>
      <c r="I9" s="5" t="s">
        <v>21</v>
      </c>
      <c r="J9" s="5" t="s">
        <v>247</v>
      </c>
      <c r="K9" s="5" t="s">
        <v>387</v>
      </c>
      <c r="L9" s="5" t="s">
        <v>518</v>
      </c>
      <c r="M9" s="5" t="s">
        <v>514</v>
      </c>
      <c r="N9" s="5" t="s">
        <v>248</v>
      </c>
      <c r="O9" s="5" t="s">
        <v>501</v>
      </c>
      <c r="P9" s="5" t="s">
        <v>249</v>
      </c>
      <c r="Q9" s="5" t="s">
        <v>501</v>
      </c>
      <c r="R9" s="5" t="s">
        <v>236</v>
      </c>
      <c r="S9" s="5" t="s">
        <v>501</v>
      </c>
      <c r="T9" s="5" t="s">
        <v>236</v>
      </c>
      <c r="U9" s="5" t="s">
        <v>519</v>
      </c>
      <c r="V9" s="5" t="s">
        <v>520</v>
      </c>
      <c r="W9" s="5" t="s">
        <v>250</v>
      </c>
      <c r="Y9" s="5" t="s">
        <v>458</v>
      </c>
    </row>
    <row r="10" spans="1:25" ht="12.5">
      <c r="A10" s="5">
        <v>231273</v>
      </c>
      <c r="B10" s="5" t="s">
        <v>19</v>
      </c>
      <c r="D10" s="5" t="s">
        <v>18</v>
      </c>
      <c r="E10" s="5" t="s">
        <v>66</v>
      </c>
      <c r="F10" s="5" t="s">
        <v>0</v>
      </c>
      <c r="G10" s="5">
        <v>2014</v>
      </c>
      <c r="H10" s="5">
        <v>2014</v>
      </c>
      <c r="I10" s="5" t="s">
        <v>21</v>
      </c>
      <c r="J10" s="5" t="s">
        <v>222</v>
      </c>
      <c r="K10" s="5" t="s">
        <v>378</v>
      </c>
      <c r="L10" s="5" t="s">
        <v>513</v>
      </c>
      <c r="M10" s="5" t="s">
        <v>514</v>
      </c>
      <c r="N10" s="5" t="s">
        <v>223</v>
      </c>
      <c r="O10" s="5" t="s">
        <v>501</v>
      </c>
      <c r="P10" s="5" t="s">
        <v>224</v>
      </c>
      <c r="Q10" s="5" t="s">
        <v>521</v>
      </c>
      <c r="R10" s="5" t="s">
        <v>225</v>
      </c>
      <c r="S10" s="5" t="s">
        <v>522</v>
      </c>
      <c r="T10" s="5" t="s">
        <v>379</v>
      </c>
      <c r="U10" s="5" t="s">
        <v>523</v>
      </c>
      <c r="V10" s="5" t="s">
        <v>524</v>
      </c>
      <c r="W10" s="5" t="s">
        <v>226</v>
      </c>
      <c r="Y10" s="5" t="s">
        <v>380</v>
      </c>
    </row>
    <row r="11" spans="1:25" ht="12.5">
      <c r="A11" s="5">
        <v>3017</v>
      </c>
      <c r="B11" s="5" t="s">
        <v>15</v>
      </c>
      <c r="D11" s="5" t="s">
        <v>16</v>
      </c>
      <c r="E11" s="5" t="s">
        <v>36</v>
      </c>
      <c r="F11" s="5" t="s">
        <v>0</v>
      </c>
      <c r="G11" s="5">
        <v>2011</v>
      </c>
      <c r="H11" s="5">
        <v>2011</v>
      </c>
      <c r="I11" s="5" t="s">
        <v>37</v>
      </c>
      <c r="J11" s="5" t="s">
        <v>186</v>
      </c>
      <c r="K11" s="5" t="s">
        <v>368</v>
      </c>
      <c r="L11" s="5" t="s">
        <v>525</v>
      </c>
      <c r="M11" s="5" t="s">
        <v>514</v>
      </c>
      <c r="N11" s="5" t="s">
        <v>187</v>
      </c>
      <c r="O11" s="5" t="s">
        <v>167</v>
      </c>
      <c r="P11" s="5" t="s">
        <v>188</v>
      </c>
      <c r="Q11" s="5" t="s">
        <v>501</v>
      </c>
      <c r="R11" s="5" t="s">
        <v>189</v>
      </c>
      <c r="S11" s="5" t="s">
        <v>501</v>
      </c>
      <c r="T11" s="5" t="s">
        <v>236</v>
      </c>
      <c r="U11" s="5" t="s">
        <v>519</v>
      </c>
      <c r="V11" s="5" t="s">
        <v>520</v>
      </c>
      <c r="W11" s="5" t="s">
        <v>191</v>
      </c>
      <c r="Y11" s="5" t="s">
        <v>443</v>
      </c>
    </row>
    <row r="12" spans="1:25" ht="12.5">
      <c r="A12" s="5">
        <v>194180</v>
      </c>
      <c r="B12" s="5" t="s">
        <v>19</v>
      </c>
      <c r="D12" s="5" t="s">
        <v>18</v>
      </c>
      <c r="E12" s="5" t="s">
        <v>156</v>
      </c>
      <c r="F12" s="5" t="s">
        <v>0</v>
      </c>
      <c r="G12" s="5">
        <v>2013</v>
      </c>
      <c r="H12" s="5">
        <v>2021</v>
      </c>
      <c r="I12" s="5" t="s">
        <v>157</v>
      </c>
      <c r="J12" s="5" t="s">
        <v>350</v>
      </c>
      <c r="K12" s="5" t="s">
        <v>430</v>
      </c>
      <c r="L12" s="5" t="s">
        <v>526</v>
      </c>
      <c r="M12" s="5" t="s">
        <v>514</v>
      </c>
      <c r="N12" s="5" t="s">
        <v>351</v>
      </c>
      <c r="O12" s="5" t="s">
        <v>431</v>
      </c>
      <c r="P12" s="5" t="s">
        <v>352</v>
      </c>
      <c r="Q12" s="5" t="s">
        <v>501</v>
      </c>
      <c r="R12" s="5" t="s">
        <v>353</v>
      </c>
      <c r="S12" s="5" t="s">
        <v>501</v>
      </c>
      <c r="T12" s="5" t="s">
        <v>432</v>
      </c>
      <c r="U12" s="5" t="s">
        <v>510</v>
      </c>
      <c r="V12" s="5" t="s">
        <v>511</v>
      </c>
      <c r="W12" s="5" t="s">
        <v>354</v>
      </c>
      <c r="Y12" s="5" t="s">
        <v>475</v>
      </c>
    </row>
    <row r="13" spans="1:25" ht="12.5">
      <c r="A13" s="5">
        <v>127213</v>
      </c>
      <c r="B13" s="5" t="s">
        <v>19</v>
      </c>
      <c r="D13" s="5" t="s">
        <v>18</v>
      </c>
      <c r="E13" s="5" t="s">
        <v>24</v>
      </c>
      <c r="F13" s="5" t="s">
        <v>0</v>
      </c>
      <c r="G13" s="5">
        <v>2011</v>
      </c>
      <c r="H13" s="5">
        <v>2011</v>
      </c>
      <c r="I13" s="5" t="s">
        <v>25</v>
      </c>
      <c r="J13" s="5" t="s">
        <v>172</v>
      </c>
      <c r="K13" s="5" t="s">
        <v>360</v>
      </c>
      <c r="L13" s="5" t="s">
        <v>526</v>
      </c>
      <c r="M13" s="5" t="s">
        <v>514</v>
      </c>
      <c r="N13" s="5" t="s">
        <v>173</v>
      </c>
      <c r="O13" s="5" t="s">
        <v>501</v>
      </c>
      <c r="P13" s="5" t="s">
        <v>174</v>
      </c>
      <c r="Q13" s="5" t="s">
        <v>501</v>
      </c>
      <c r="R13" s="5" t="s">
        <v>174</v>
      </c>
      <c r="S13" s="5" t="s">
        <v>527</v>
      </c>
      <c r="T13" s="5" t="s">
        <v>361</v>
      </c>
      <c r="U13" s="5" t="s">
        <v>528</v>
      </c>
      <c r="V13" s="5" t="s">
        <v>520</v>
      </c>
      <c r="W13" s="5" t="s">
        <v>175</v>
      </c>
      <c r="Y13" s="5" t="s">
        <v>441</v>
      </c>
    </row>
    <row r="14" spans="1:25" ht="12.5">
      <c r="A14" s="5">
        <v>25744</v>
      </c>
      <c r="B14" s="5" t="s">
        <v>15</v>
      </c>
      <c r="D14" s="5" t="s">
        <v>16</v>
      </c>
      <c r="E14" s="5" t="s">
        <v>145</v>
      </c>
      <c r="F14" s="5" t="s">
        <v>0</v>
      </c>
      <c r="G14" s="5">
        <v>2019</v>
      </c>
      <c r="H14" s="5">
        <v>2019</v>
      </c>
      <c r="I14" s="5" t="s">
        <v>146</v>
      </c>
      <c r="J14" s="5" t="s">
        <v>327</v>
      </c>
      <c r="K14" s="5" t="s">
        <v>418</v>
      </c>
      <c r="L14" s="5" t="s">
        <v>526</v>
      </c>
      <c r="M14" s="5" t="s">
        <v>514</v>
      </c>
      <c r="N14" s="5" t="s">
        <v>328</v>
      </c>
      <c r="O14" s="5" t="s">
        <v>529</v>
      </c>
      <c r="P14" s="5" t="s">
        <v>329</v>
      </c>
      <c r="Q14" s="5" t="s">
        <v>501</v>
      </c>
      <c r="R14" s="5" t="s">
        <v>236</v>
      </c>
      <c r="S14" s="5" t="s">
        <v>501</v>
      </c>
      <c r="T14" s="5" t="s">
        <v>419</v>
      </c>
      <c r="U14" s="5" t="s">
        <v>530</v>
      </c>
      <c r="V14" s="5" t="s">
        <v>524</v>
      </c>
      <c r="W14" s="5" t="s">
        <v>473</v>
      </c>
      <c r="Y14" s="5" t="s">
        <v>420</v>
      </c>
    </row>
    <row r="15" spans="1:25" ht="12.5">
      <c r="A15" s="5">
        <v>25196</v>
      </c>
      <c r="B15" s="5" t="s">
        <v>15</v>
      </c>
      <c r="D15" s="5" t="s">
        <v>16</v>
      </c>
      <c r="E15" s="5" t="s">
        <v>114</v>
      </c>
      <c r="F15" s="5" t="s">
        <v>0</v>
      </c>
      <c r="G15" s="5">
        <v>2018</v>
      </c>
      <c r="H15" s="5">
        <v>2018</v>
      </c>
      <c r="I15" s="5" t="s">
        <v>115</v>
      </c>
      <c r="J15" s="5" t="s">
        <v>292</v>
      </c>
      <c r="K15" s="5" t="s">
        <v>401</v>
      </c>
      <c r="L15" s="5" t="s">
        <v>499</v>
      </c>
      <c r="M15" s="5" t="s">
        <v>500</v>
      </c>
      <c r="N15" s="5" t="s">
        <v>293</v>
      </c>
      <c r="O15" s="5" t="s">
        <v>394</v>
      </c>
      <c r="P15" s="5" t="s">
        <v>294</v>
      </c>
      <c r="Q15" s="5" t="s">
        <v>501</v>
      </c>
      <c r="R15" s="5" t="s">
        <v>236</v>
      </c>
      <c r="S15" s="5" t="s">
        <v>501</v>
      </c>
      <c r="T15" s="5" t="s">
        <v>236</v>
      </c>
      <c r="U15" s="5" t="s">
        <v>515</v>
      </c>
      <c r="V15" s="5" t="s">
        <v>516</v>
      </c>
      <c r="W15" s="5" t="s">
        <v>295</v>
      </c>
      <c r="Y15" s="5" t="s">
        <v>402</v>
      </c>
    </row>
    <row r="16" spans="1:25" ht="12.5">
      <c r="A16" s="5">
        <v>354302</v>
      </c>
      <c r="B16" s="5" t="s">
        <v>19</v>
      </c>
      <c r="D16" s="5" t="s">
        <v>18</v>
      </c>
      <c r="E16" s="5" t="s">
        <v>95</v>
      </c>
      <c r="F16" s="5" t="s">
        <v>0</v>
      </c>
      <c r="G16" s="5">
        <v>2017</v>
      </c>
      <c r="H16" s="5">
        <v>2017</v>
      </c>
      <c r="I16" s="5" t="s">
        <v>96</v>
      </c>
      <c r="J16" s="5" t="s">
        <v>269</v>
      </c>
      <c r="K16" s="5" t="s">
        <v>395</v>
      </c>
      <c r="L16" s="5" t="s">
        <v>499</v>
      </c>
      <c r="M16" s="5" t="s">
        <v>500</v>
      </c>
      <c r="N16" s="5" t="s">
        <v>270</v>
      </c>
      <c r="O16" s="5" t="s">
        <v>501</v>
      </c>
      <c r="P16" s="5" t="s">
        <v>271</v>
      </c>
      <c r="Q16" s="5" t="s">
        <v>501</v>
      </c>
      <c r="R16" s="5" t="s">
        <v>236</v>
      </c>
      <c r="S16" s="5" t="s">
        <v>501</v>
      </c>
      <c r="T16" s="5" t="s">
        <v>236</v>
      </c>
      <c r="U16" s="5" t="s">
        <v>530</v>
      </c>
      <c r="V16" s="5" t="s">
        <v>524</v>
      </c>
      <c r="W16" s="5" t="s">
        <v>272</v>
      </c>
      <c r="Y16" s="5" t="s">
        <v>465</v>
      </c>
    </row>
    <row r="17" spans="1:25" ht="12.5">
      <c r="A17" s="5">
        <v>340712</v>
      </c>
      <c r="B17" s="5" t="s">
        <v>19</v>
      </c>
      <c r="D17" s="5" t="s">
        <v>18</v>
      </c>
      <c r="E17" s="5" t="s">
        <v>97</v>
      </c>
      <c r="F17" s="5" t="s">
        <v>0</v>
      </c>
      <c r="G17" s="5">
        <v>2017</v>
      </c>
      <c r="H17" s="5">
        <v>2017</v>
      </c>
      <c r="I17" s="5" t="s">
        <v>98</v>
      </c>
      <c r="J17" s="5" t="s">
        <v>273</v>
      </c>
      <c r="K17" s="5" t="s">
        <v>396</v>
      </c>
      <c r="L17" s="5" t="s">
        <v>499</v>
      </c>
      <c r="M17" s="5" t="s">
        <v>500</v>
      </c>
      <c r="N17" s="5" t="s">
        <v>274</v>
      </c>
      <c r="O17" s="5" t="s">
        <v>466</v>
      </c>
      <c r="P17" s="5" t="s">
        <v>275</v>
      </c>
      <c r="Q17" s="5" t="s">
        <v>501</v>
      </c>
      <c r="R17" s="5" t="s">
        <v>236</v>
      </c>
      <c r="S17" s="5" t="s">
        <v>501</v>
      </c>
      <c r="T17" s="5" t="s">
        <v>236</v>
      </c>
      <c r="U17" s="5" t="s">
        <v>531</v>
      </c>
      <c r="V17" s="5" t="s">
        <v>503</v>
      </c>
      <c r="W17" s="5" t="s">
        <v>276</v>
      </c>
      <c r="X17" s="5" t="s">
        <v>467</v>
      </c>
      <c r="Y17" s="5" t="s">
        <v>277</v>
      </c>
    </row>
    <row r="18" spans="1:25" ht="12.5">
      <c r="A18" s="5">
        <v>8679</v>
      </c>
      <c r="B18" s="5" t="s">
        <v>15</v>
      </c>
      <c r="D18" s="5" t="s">
        <v>16</v>
      </c>
      <c r="E18" s="5" t="s">
        <v>57</v>
      </c>
      <c r="F18" s="5" t="s">
        <v>0</v>
      </c>
      <c r="G18" s="5">
        <v>2013</v>
      </c>
      <c r="H18" s="5">
        <v>2013</v>
      </c>
      <c r="I18" s="5" t="s">
        <v>21</v>
      </c>
      <c r="J18" s="5" t="s">
        <v>211</v>
      </c>
      <c r="K18" s="5" t="s">
        <v>374</v>
      </c>
      <c r="L18" s="5" t="s">
        <v>532</v>
      </c>
      <c r="M18" s="5" t="s">
        <v>514</v>
      </c>
      <c r="N18" s="5" t="s">
        <v>212</v>
      </c>
      <c r="O18" s="5" t="s">
        <v>167</v>
      </c>
      <c r="P18" s="5" t="s">
        <v>213</v>
      </c>
      <c r="Q18" s="5" t="s">
        <v>169</v>
      </c>
      <c r="R18" s="5" t="s">
        <v>214</v>
      </c>
      <c r="S18" s="5" t="s">
        <v>215</v>
      </c>
      <c r="T18" s="5" t="s">
        <v>375</v>
      </c>
      <c r="U18" s="5" t="s">
        <v>508</v>
      </c>
      <c r="V18" s="5" t="s">
        <v>506</v>
      </c>
      <c r="W18" s="5" t="s">
        <v>216</v>
      </c>
      <c r="Y18" s="5" t="s">
        <v>449</v>
      </c>
    </row>
    <row r="19" spans="1:25" ht="12.5">
      <c r="A19" s="5">
        <v>9878</v>
      </c>
      <c r="B19" s="5" t="s">
        <v>15</v>
      </c>
      <c r="D19" s="5" t="s">
        <v>16</v>
      </c>
      <c r="E19" s="5" t="s">
        <v>58</v>
      </c>
      <c r="F19" s="5" t="s">
        <v>0</v>
      </c>
      <c r="G19" s="5">
        <v>2013</v>
      </c>
      <c r="H19" s="5">
        <v>2013</v>
      </c>
      <c r="I19" s="5" t="s">
        <v>21</v>
      </c>
      <c r="J19" s="5" t="s">
        <v>217</v>
      </c>
      <c r="K19" s="5" t="s">
        <v>376</v>
      </c>
      <c r="L19" s="5" t="s">
        <v>499</v>
      </c>
      <c r="M19" s="5" t="s">
        <v>500</v>
      </c>
      <c r="N19" s="5" t="s">
        <v>218</v>
      </c>
      <c r="O19" s="5" t="s">
        <v>167</v>
      </c>
      <c r="P19" s="5" t="s">
        <v>219</v>
      </c>
      <c r="Q19" s="5" t="s">
        <v>169</v>
      </c>
      <c r="R19" s="5" t="s">
        <v>220</v>
      </c>
      <c r="S19" s="5" t="s">
        <v>522</v>
      </c>
      <c r="T19" s="5" t="s">
        <v>377</v>
      </c>
      <c r="U19" s="5" t="s">
        <v>515</v>
      </c>
      <c r="V19" s="5" t="s">
        <v>516</v>
      </c>
      <c r="W19" s="5" t="s">
        <v>221</v>
      </c>
      <c r="Y19" s="5" t="s">
        <v>450</v>
      </c>
    </row>
    <row r="20" spans="1:25" ht="12.5">
      <c r="A20" s="5">
        <v>398317</v>
      </c>
      <c r="B20" s="5" t="s">
        <v>19</v>
      </c>
      <c r="D20" s="5" t="s">
        <v>18</v>
      </c>
      <c r="E20" s="5" t="s">
        <v>134</v>
      </c>
      <c r="F20" s="5" t="s">
        <v>0</v>
      </c>
      <c r="G20" s="5">
        <v>2019</v>
      </c>
      <c r="H20" s="5">
        <v>2019</v>
      </c>
      <c r="I20" s="5" t="s">
        <v>21</v>
      </c>
      <c r="J20" s="5" t="s">
        <v>314</v>
      </c>
      <c r="K20" s="5" t="s">
        <v>413</v>
      </c>
      <c r="L20" s="5" t="s">
        <v>525</v>
      </c>
      <c r="M20" s="5" t="s">
        <v>514</v>
      </c>
      <c r="N20" s="5" t="s">
        <v>315</v>
      </c>
      <c r="O20" s="5" t="s">
        <v>501</v>
      </c>
      <c r="P20" s="5" t="s">
        <v>316</v>
      </c>
      <c r="Q20" s="5" t="s">
        <v>501</v>
      </c>
      <c r="R20" s="5" t="s">
        <v>236</v>
      </c>
      <c r="S20" s="5" t="s">
        <v>501</v>
      </c>
      <c r="T20" s="5" t="s">
        <v>236</v>
      </c>
      <c r="U20" s="5" t="s">
        <v>519</v>
      </c>
      <c r="V20" s="5" t="s">
        <v>520</v>
      </c>
      <c r="W20" s="5" t="s">
        <v>317</v>
      </c>
      <c r="Y20" s="5" t="s">
        <v>414</v>
      </c>
    </row>
    <row r="21" spans="1:25" ht="12.5">
      <c r="A21" s="5">
        <v>41750</v>
      </c>
      <c r="B21" s="5" t="s">
        <v>19</v>
      </c>
      <c r="D21" s="5" t="s">
        <v>18</v>
      </c>
      <c r="E21" s="5" t="s">
        <v>29</v>
      </c>
      <c r="F21" s="5" t="s">
        <v>0</v>
      </c>
      <c r="G21" s="5">
        <v>2011</v>
      </c>
      <c r="H21" s="5">
        <v>2011</v>
      </c>
      <c r="I21" s="5" t="s">
        <v>30</v>
      </c>
      <c r="J21" s="5" t="s">
        <v>176</v>
      </c>
      <c r="K21" s="5" t="s">
        <v>362</v>
      </c>
      <c r="L21" s="5" t="s">
        <v>525</v>
      </c>
      <c r="M21" s="5" t="s">
        <v>514</v>
      </c>
      <c r="N21" s="5" t="s">
        <v>177</v>
      </c>
      <c r="O21" s="5" t="s">
        <v>501</v>
      </c>
      <c r="P21" s="5" t="s">
        <v>178</v>
      </c>
      <c r="Q21" s="5" t="s">
        <v>501</v>
      </c>
      <c r="R21" s="5" t="s">
        <v>179</v>
      </c>
      <c r="S21" s="5" t="s">
        <v>501</v>
      </c>
      <c r="T21" s="5" t="s">
        <v>363</v>
      </c>
      <c r="U21" s="5" t="s">
        <v>510</v>
      </c>
      <c r="V21" s="5" t="s">
        <v>511</v>
      </c>
      <c r="W21" s="5" t="s">
        <v>180</v>
      </c>
      <c r="Y21" s="5" t="s">
        <v>442</v>
      </c>
    </row>
    <row r="22" spans="1:25" ht="12.5">
      <c r="A22" s="5">
        <v>147937</v>
      </c>
      <c r="B22" s="5" t="s">
        <v>19</v>
      </c>
      <c r="D22" s="5" t="s">
        <v>18</v>
      </c>
      <c r="E22" s="5" t="s">
        <v>38</v>
      </c>
      <c r="F22" s="5" t="s">
        <v>0</v>
      </c>
      <c r="G22" s="5">
        <v>2012</v>
      </c>
      <c r="H22" s="5">
        <v>2012</v>
      </c>
      <c r="I22" s="5" t="s">
        <v>21</v>
      </c>
      <c r="J22" s="5" t="s">
        <v>192</v>
      </c>
      <c r="K22" s="5" t="s">
        <v>369</v>
      </c>
      <c r="L22" s="5" t="s">
        <v>526</v>
      </c>
      <c r="M22" s="5" t="s">
        <v>514</v>
      </c>
      <c r="N22" s="5" t="s">
        <v>193</v>
      </c>
      <c r="O22" s="5" t="s">
        <v>501</v>
      </c>
      <c r="P22" s="5" t="s">
        <v>194</v>
      </c>
      <c r="Q22" s="5" t="s">
        <v>501</v>
      </c>
      <c r="R22" s="5" t="s">
        <v>195</v>
      </c>
      <c r="S22" s="5" t="s">
        <v>522</v>
      </c>
      <c r="T22" s="5" t="s">
        <v>370</v>
      </c>
      <c r="U22" s="5" t="s">
        <v>510</v>
      </c>
      <c r="V22" s="5" t="s">
        <v>511</v>
      </c>
      <c r="W22" s="5" t="s">
        <v>196</v>
      </c>
      <c r="Y22" s="5" t="s">
        <v>444</v>
      </c>
    </row>
    <row r="23" spans="1:25" ht="12.5">
      <c r="A23" s="5">
        <v>31666</v>
      </c>
      <c r="B23" s="5" t="s">
        <v>15</v>
      </c>
      <c r="D23" s="5" t="s">
        <v>16</v>
      </c>
      <c r="E23" s="5" t="s">
        <v>153</v>
      </c>
      <c r="F23" s="5" t="s">
        <v>0</v>
      </c>
      <c r="G23" s="5">
        <v>2021</v>
      </c>
      <c r="H23" s="5">
        <v>2021</v>
      </c>
      <c r="I23" s="5" t="s">
        <v>21</v>
      </c>
      <c r="J23" s="5" t="s">
        <v>345</v>
      </c>
      <c r="K23" s="5" t="s">
        <v>428</v>
      </c>
      <c r="L23" s="5" t="s">
        <v>499</v>
      </c>
      <c r="M23" s="5" t="s">
        <v>500</v>
      </c>
      <c r="N23" s="5" t="s">
        <v>346</v>
      </c>
      <c r="O23" s="5" t="s">
        <v>167</v>
      </c>
      <c r="P23" s="5" t="s">
        <v>347</v>
      </c>
      <c r="Q23" s="5" t="s">
        <v>289</v>
      </c>
      <c r="R23" s="5" t="s">
        <v>348</v>
      </c>
      <c r="S23" s="5" t="s">
        <v>501</v>
      </c>
      <c r="T23" s="5" t="s">
        <v>236</v>
      </c>
      <c r="U23" s="5" t="s">
        <v>533</v>
      </c>
      <c r="V23" s="5" t="s">
        <v>506</v>
      </c>
      <c r="W23" s="5" t="s">
        <v>349</v>
      </c>
      <c r="Y23" s="5" t="s">
        <v>429</v>
      </c>
    </row>
    <row r="24" spans="1:25" ht="12.5">
      <c r="A24" s="5">
        <v>14189</v>
      </c>
      <c r="B24" s="5" t="s">
        <v>15</v>
      </c>
      <c r="D24" s="5" t="s">
        <v>16</v>
      </c>
      <c r="E24" s="5" t="s">
        <v>79</v>
      </c>
      <c r="F24" s="5" t="s">
        <v>0</v>
      </c>
      <c r="G24" s="5">
        <v>2015</v>
      </c>
      <c r="H24" s="5">
        <v>2015</v>
      </c>
      <c r="I24" s="5" t="s">
        <v>80</v>
      </c>
      <c r="J24" s="5" t="s">
        <v>176</v>
      </c>
      <c r="K24" s="5" t="s">
        <v>190</v>
      </c>
      <c r="L24" s="5" t="s">
        <v>525</v>
      </c>
      <c r="M24" s="5" t="s">
        <v>514</v>
      </c>
      <c r="N24" s="5" t="s">
        <v>455</v>
      </c>
      <c r="O24" s="5" t="s">
        <v>167</v>
      </c>
      <c r="P24" s="5" t="s">
        <v>245</v>
      </c>
      <c r="Q24" s="5" t="s">
        <v>501</v>
      </c>
      <c r="R24" s="5" t="s">
        <v>236</v>
      </c>
      <c r="S24" s="5" t="s">
        <v>501</v>
      </c>
      <c r="T24" s="5" t="s">
        <v>236</v>
      </c>
      <c r="U24" s="5" t="s">
        <v>519</v>
      </c>
      <c r="V24" s="5" t="s">
        <v>520</v>
      </c>
      <c r="W24" s="5" t="s">
        <v>246</v>
      </c>
      <c r="Y24" s="5" t="s">
        <v>457</v>
      </c>
    </row>
    <row r="25" spans="1:25" ht="12.5">
      <c r="A25" s="5">
        <v>403583</v>
      </c>
      <c r="B25" s="5" t="s">
        <v>19</v>
      </c>
      <c r="D25" s="5" t="s">
        <v>18</v>
      </c>
      <c r="E25" s="5" t="s">
        <v>148</v>
      </c>
      <c r="F25" s="5" t="s">
        <v>0</v>
      </c>
      <c r="G25" s="5">
        <v>2020</v>
      </c>
      <c r="H25" s="5">
        <v>2020</v>
      </c>
      <c r="I25" s="5" t="s">
        <v>149</v>
      </c>
      <c r="J25" s="5" t="s">
        <v>335</v>
      </c>
      <c r="K25" s="5" t="s">
        <v>423</v>
      </c>
      <c r="L25" s="5" t="s">
        <v>509</v>
      </c>
      <c r="M25" s="5" t="s">
        <v>500</v>
      </c>
      <c r="N25" s="5" t="s">
        <v>336</v>
      </c>
      <c r="O25" s="5" t="s">
        <v>167</v>
      </c>
      <c r="P25" s="5" t="s">
        <v>337</v>
      </c>
      <c r="Q25" s="5" t="s">
        <v>366</v>
      </c>
      <c r="R25" s="5" t="s">
        <v>338</v>
      </c>
      <c r="S25" s="5" t="s">
        <v>501</v>
      </c>
      <c r="T25" s="5" t="s">
        <v>424</v>
      </c>
      <c r="U25" s="5" t="s">
        <v>510</v>
      </c>
      <c r="V25" s="5" t="s">
        <v>511</v>
      </c>
      <c r="W25" s="5" t="s">
        <v>339</v>
      </c>
      <c r="X25" s="5" t="s">
        <v>534</v>
      </c>
      <c r="Y25" s="5" t="s">
        <v>425</v>
      </c>
    </row>
    <row r="26" spans="1:25" ht="12.5">
      <c r="A26" s="5">
        <v>22001</v>
      </c>
      <c r="B26" s="5" t="s">
        <v>15</v>
      </c>
      <c r="D26" s="5" t="s">
        <v>16</v>
      </c>
      <c r="E26" s="5" t="s">
        <v>100</v>
      </c>
      <c r="F26" s="5" t="s">
        <v>0</v>
      </c>
      <c r="G26" s="5">
        <v>2017</v>
      </c>
      <c r="H26" s="5">
        <v>2017</v>
      </c>
      <c r="I26" s="5" t="s">
        <v>21</v>
      </c>
      <c r="J26" s="5" t="s">
        <v>278</v>
      </c>
      <c r="K26" s="5" t="s">
        <v>397</v>
      </c>
      <c r="L26" s="5" t="s">
        <v>518</v>
      </c>
      <c r="M26" s="5" t="s">
        <v>514</v>
      </c>
      <c r="N26" s="5" t="s">
        <v>279</v>
      </c>
      <c r="O26" s="5" t="s">
        <v>501</v>
      </c>
      <c r="P26" s="5" t="s">
        <v>236</v>
      </c>
      <c r="Q26" s="5" t="s">
        <v>501</v>
      </c>
      <c r="R26" s="5" t="s">
        <v>236</v>
      </c>
      <c r="S26" s="5" t="s">
        <v>501</v>
      </c>
      <c r="T26" s="5" t="s">
        <v>236</v>
      </c>
      <c r="U26" s="5" t="s">
        <v>531</v>
      </c>
      <c r="V26" s="5" t="s">
        <v>503</v>
      </c>
      <c r="W26" s="5" t="s">
        <v>280</v>
      </c>
      <c r="X26" s="5" t="s">
        <v>535</v>
      </c>
      <c r="Y26" s="5" t="s">
        <v>468</v>
      </c>
    </row>
    <row r="27" spans="1:25" ht="12.5">
      <c r="A27" s="5">
        <v>26673</v>
      </c>
      <c r="B27" s="5" t="s">
        <v>15</v>
      </c>
      <c r="D27" s="5" t="s">
        <v>16</v>
      </c>
      <c r="E27" s="5" t="s">
        <v>122</v>
      </c>
      <c r="F27" s="5" t="s">
        <v>0</v>
      </c>
      <c r="G27" s="5">
        <v>2019</v>
      </c>
      <c r="H27" s="5">
        <v>2019</v>
      </c>
      <c r="I27" s="5" t="s">
        <v>21</v>
      </c>
      <c r="J27" s="5" t="s">
        <v>296</v>
      </c>
      <c r="K27" s="5" t="s">
        <v>403</v>
      </c>
      <c r="L27" s="5" t="s">
        <v>518</v>
      </c>
      <c r="M27" s="5" t="s">
        <v>514</v>
      </c>
      <c r="N27" s="5" t="s">
        <v>297</v>
      </c>
      <c r="O27" s="5" t="s">
        <v>167</v>
      </c>
      <c r="P27" s="5" t="s">
        <v>298</v>
      </c>
      <c r="Q27" s="5" t="s">
        <v>501</v>
      </c>
      <c r="R27" s="5" t="s">
        <v>236</v>
      </c>
      <c r="S27" s="5" t="s">
        <v>522</v>
      </c>
      <c r="T27" s="5" t="s">
        <v>404</v>
      </c>
      <c r="U27" s="5" t="s">
        <v>519</v>
      </c>
      <c r="V27" s="5" t="s">
        <v>520</v>
      </c>
      <c r="W27" s="5" t="s">
        <v>299</v>
      </c>
      <c r="Y27" s="5" t="s">
        <v>405</v>
      </c>
    </row>
    <row r="28" spans="1:25" ht="12.5">
      <c r="A28" s="5">
        <v>25714</v>
      </c>
      <c r="B28" s="5" t="s">
        <v>15</v>
      </c>
      <c r="D28" s="5" t="s">
        <v>16</v>
      </c>
      <c r="E28" s="5" t="s">
        <v>141</v>
      </c>
      <c r="F28" s="5" t="s">
        <v>0</v>
      </c>
      <c r="G28" s="5">
        <v>2019</v>
      </c>
      <c r="H28" s="5">
        <v>2019</v>
      </c>
      <c r="I28" s="5" t="s">
        <v>142</v>
      </c>
      <c r="J28" s="5" t="s">
        <v>322</v>
      </c>
      <c r="K28" s="5" t="s">
        <v>417</v>
      </c>
      <c r="L28" s="5" t="s">
        <v>509</v>
      </c>
      <c r="M28" s="5" t="s">
        <v>500</v>
      </c>
      <c r="N28" s="5" t="s">
        <v>323</v>
      </c>
      <c r="O28" s="5" t="s">
        <v>167</v>
      </c>
      <c r="P28" s="5" t="s">
        <v>324</v>
      </c>
      <c r="Q28" s="5" t="s">
        <v>289</v>
      </c>
      <c r="R28" s="5" t="s">
        <v>325</v>
      </c>
      <c r="S28" s="5" t="s">
        <v>501</v>
      </c>
      <c r="T28" s="5" t="s">
        <v>236</v>
      </c>
      <c r="U28" s="5" t="s">
        <v>510</v>
      </c>
      <c r="V28" s="5" t="s">
        <v>511</v>
      </c>
      <c r="W28" s="5" t="s">
        <v>326</v>
      </c>
      <c r="X28" s="5" t="s">
        <v>536</v>
      </c>
      <c r="Y28" s="5" t="s">
        <v>472</v>
      </c>
    </row>
    <row r="29" spans="1:25" ht="12.5">
      <c r="A29" s="5">
        <v>23855</v>
      </c>
      <c r="B29" s="5" t="s">
        <v>15</v>
      </c>
      <c r="D29" s="5" t="s">
        <v>16</v>
      </c>
      <c r="E29" s="5" t="s">
        <v>105</v>
      </c>
      <c r="F29" s="5" t="s">
        <v>0</v>
      </c>
      <c r="G29" s="5">
        <v>2018</v>
      </c>
      <c r="H29" s="5">
        <v>2018</v>
      </c>
      <c r="I29" s="5" t="s">
        <v>21</v>
      </c>
      <c r="J29" s="5" t="s">
        <v>286</v>
      </c>
      <c r="K29" s="5" t="s">
        <v>400</v>
      </c>
      <c r="L29" s="5" t="s">
        <v>499</v>
      </c>
      <c r="M29" s="5" t="s">
        <v>500</v>
      </c>
      <c r="N29" s="5" t="s">
        <v>287</v>
      </c>
      <c r="O29" s="5" t="s">
        <v>167</v>
      </c>
      <c r="P29" s="5" t="s">
        <v>288</v>
      </c>
      <c r="Q29" s="5" t="s">
        <v>169</v>
      </c>
      <c r="R29" s="5" t="s">
        <v>290</v>
      </c>
      <c r="S29" s="5" t="s">
        <v>501</v>
      </c>
      <c r="T29" s="5" t="s">
        <v>236</v>
      </c>
      <c r="U29" s="5" t="s">
        <v>533</v>
      </c>
      <c r="V29" s="5" t="s">
        <v>506</v>
      </c>
      <c r="W29" s="5" t="s">
        <v>291</v>
      </c>
      <c r="Y29" s="5" t="s">
        <v>470</v>
      </c>
    </row>
    <row r="30" spans="1:25" ht="12.5">
      <c r="A30" s="5">
        <v>30061</v>
      </c>
      <c r="B30" s="5" t="s">
        <v>15</v>
      </c>
      <c r="D30" s="5" t="s">
        <v>16</v>
      </c>
      <c r="E30" s="5" t="s">
        <v>147</v>
      </c>
      <c r="F30" s="5" t="s">
        <v>0</v>
      </c>
      <c r="G30" s="5">
        <v>2020</v>
      </c>
      <c r="H30" s="5">
        <v>2020</v>
      </c>
      <c r="I30" s="5" t="s">
        <v>146</v>
      </c>
      <c r="J30" s="5" t="s">
        <v>330</v>
      </c>
      <c r="K30" s="5" t="s">
        <v>421</v>
      </c>
      <c r="L30" s="5" t="s">
        <v>537</v>
      </c>
      <c r="M30" s="5" t="s">
        <v>514</v>
      </c>
      <c r="N30" s="5" t="s">
        <v>331</v>
      </c>
      <c r="O30" s="5" t="s">
        <v>501</v>
      </c>
      <c r="P30" s="5" t="s">
        <v>332</v>
      </c>
      <c r="Q30" s="5" t="s">
        <v>538</v>
      </c>
      <c r="R30" s="5" t="s">
        <v>333</v>
      </c>
      <c r="S30" s="5" t="s">
        <v>501</v>
      </c>
      <c r="T30" s="5" t="s">
        <v>236</v>
      </c>
      <c r="U30" s="5" t="s">
        <v>510</v>
      </c>
      <c r="V30" s="5" t="s">
        <v>511</v>
      </c>
      <c r="W30" s="5" t="s">
        <v>334</v>
      </c>
      <c r="Y30" s="5" t="s">
        <v>422</v>
      </c>
    </row>
    <row r="31" spans="1:25" ht="12.5">
      <c r="A31" s="5">
        <v>12641</v>
      </c>
      <c r="B31" s="5" t="s">
        <v>15</v>
      </c>
      <c r="D31" s="5" t="s">
        <v>16</v>
      </c>
      <c r="E31" s="5" t="s">
        <v>72</v>
      </c>
      <c r="F31" s="5" t="s">
        <v>0</v>
      </c>
      <c r="G31" s="5">
        <v>2014</v>
      </c>
      <c r="H31" s="5">
        <v>2014</v>
      </c>
      <c r="I31" s="5" t="s">
        <v>73</v>
      </c>
      <c r="J31" s="5" t="s">
        <v>243</v>
      </c>
      <c r="K31" s="5" t="s">
        <v>386</v>
      </c>
      <c r="L31" s="5" t="s">
        <v>513</v>
      </c>
      <c r="M31" s="5" t="s">
        <v>514</v>
      </c>
      <c r="N31" s="5" t="s">
        <v>453</v>
      </c>
      <c r="O31" s="5" t="s">
        <v>501</v>
      </c>
      <c r="P31" s="5" t="s">
        <v>236</v>
      </c>
      <c r="Q31" s="5" t="s">
        <v>501</v>
      </c>
      <c r="R31" s="5" t="s">
        <v>236</v>
      </c>
      <c r="S31" s="5" t="s">
        <v>501</v>
      </c>
      <c r="T31" s="5" t="s">
        <v>236</v>
      </c>
      <c r="U31" s="5" t="s">
        <v>531</v>
      </c>
      <c r="V31" s="5" t="s">
        <v>503</v>
      </c>
      <c r="W31" s="5" t="s">
        <v>244</v>
      </c>
      <c r="Y31" s="5" t="s">
        <v>454</v>
      </c>
    </row>
    <row r="32" spans="1:25" ht="12.5">
      <c r="A32" s="5">
        <v>34041</v>
      </c>
      <c r="B32" s="5" t="s">
        <v>15</v>
      </c>
      <c r="D32" s="5" t="s">
        <v>16</v>
      </c>
      <c r="E32" s="5" t="s">
        <v>159</v>
      </c>
      <c r="F32" s="5" t="s">
        <v>0</v>
      </c>
      <c r="G32" s="5">
        <v>2022</v>
      </c>
      <c r="H32" s="5">
        <v>2022</v>
      </c>
      <c r="I32" s="5" t="s">
        <v>21</v>
      </c>
      <c r="J32" s="5" t="s">
        <v>355</v>
      </c>
      <c r="K32" s="5" t="s">
        <v>433</v>
      </c>
      <c r="L32" s="5" t="s">
        <v>537</v>
      </c>
      <c r="M32" s="5" t="s">
        <v>514</v>
      </c>
      <c r="N32" s="5" t="s">
        <v>476</v>
      </c>
      <c r="O32" s="5" t="s">
        <v>501</v>
      </c>
      <c r="P32" s="5" t="s">
        <v>236</v>
      </c>
      <c r="Q32" s="5" t="s">
        <v>501</v>
      </c>
      <c r="R32" s="5" t="s">
        <v>356</v>
      </c>
      <c r="S32" s="5" t="s">
        <v>501</v>
      </c>
      <c r="T32" s="5" t="s">
        <v>236</v>
      </c>
      <c r="U32" s="5" t="s">
        <v>502</v>
      </c>
      <c r="V32" s="5" t="s">
        <v>503</v>
      </c>
      <c r="W32" s="5" t="s">
        <v>357</v>
      </c>
      <c r="Y32" s="5" t="s">
        <v>434</v>
      </c>
    </row>
    <row r="33" spans="1:25" ht="12.5">
      <c r="A33" s="5">
        <v>232488</v>
      </c>
      <c r="B33" s="5" t="s">
        <v>19</v>
      </c>
      <c r="D33" s="5" t="s">
        <v>18</v>
      </c>
      <c r="E33" s="5" t="s">
        <v>83</v>
      </c>
      <c r="F33" s="5" t="s">
        <v>0</v>
      </c>
      <c r="G33" s="5">
        <v>2014</v>
      </c>
      <c r="H33" s="5">
        <v>2015</v>
      </c>
      <c r="I33" s="5" t="s">
        <v>21</v>
      </c>
      <c r="J33" s="5" t="s">
        <v>251</v>
      </c>
      <c r="K33" s="5" t="s">
        <v>388</v>
      </c>
      <c r="L33" s="5" t="s">
        <v>525</v>
      </c>
      <c r="M33" s="5" t="s">
        <v>514</v>
      </c>
      <c r="N33" s="5" t="s">
        <v>252</v>
      </c>
      <c r="O33" s="5" t="s">
        <v>167</v>
      </c>
      <c r="P33" s="5" t="s">
        <v>253</v>
      </c>
      <c r="Q33" s="5" t="s">
        <v>169</v>
      </c>
      <c r="R33" s="5" t="s">
        <v>254</v>
      </c>
      <c r="S33" s="5" t="s">
        <v>501</v>
      </c>
      <c r="T33" s="5" t="s">
        <v>236</v>
      </c>
      <c r="U33" s="5" t="s">
        <v>539</v>
      </c>
      <c r="V33" s="5" t="s">
        <v>506</v>
      </c>
      <c r="W33" s="5" t="s">
        <v>255</v>
      </c>
      <c r="Y33" s="5" t="s">
        <v>460</v>
      </c>
    </row>
    <row r="34" spans="1:25" ht="12.5">
      <c r="A34" s="5">
        <v>118123</v>
      </c>
      <c r="B34" s="5" t="s">
        <v>19</v>
      </c>
      <c r="D34" s="5" t="s">
        <v>18</v>
      </c>
      <c r="E34" s="5" t="s">
        <v>20</v>
      </c>
      <c r="F34" s="5" t="s">
        <v>0</v>
      </c>
      <c r="G34" s="5">
        <v>2011</v>
      </c>
      <c r="H34" s="5">
        <v>2011</v>
      </c>
      <c r="I34" s="5" t="s">
        <v>21</v>
      </c>
      <c r="J34" s="5" t="s">
        <v>165</v>
      </c>
      <c r="K34" s="5" t="s">
        <v>358</v>
      </c>
      <c r="L34" s="5" t="s">
        <v>509</v>
      </c>
      <c r="M34" s="5" t="s">
        <v>500</v>
      </c>
      <c r="N34" s="5" t="s">
        <v>166</v>
      </c>
      <c r="O34" s="5" t="s">
        <v>167</v>
      </c>
      <c r="P34" s="5" t="s">
        <v>168</v>
      </c>
      <c r="Q34" s="5" t="s">
        <v>501</v>
      </c>
      <c r="R34" s="5" t="s">
        <v>170</v>
      </c>
      <c r="S34" s="5" t="s">
        <v>501</v>
      </c>
      <c r="T34" s="5" t="s">
        <v>359</v>
      </c>
      <c r="U34" s="5" t="s">
        <v>510</v>
      </c>
      <c r="V34" s="5" t="s">
        <v>511</v>
      </c>
      <c r="W34" s="5" t="s">
        <v>171</v>
      </c>
      <c r="X34" s="5" t="s">
        <v>439</v>
      </c>
      <c r="Y34" s="5" t="s">
        <v>440</v>
      </c>
    </row>
    <row r="35" spans="1:25" ht="12.5">
      <c r="A35" s="5">
        <v>20827</v>
      </c>
      <c r="B35" s="5" t="s">
        <v>15</v>
      </c>
      <c r="D35" s="5" t="s">
        <v>16</v>
      </c>
      <c r="E35" s="5" t="s">
        <v>103</v>
      </c>
      <c r="F35" s="5" t="s">
        <v>0</v>
      </c>
      <c r="G35" s="5">
        <v>2017</v>
      </c>
      <c r="H35" s="5">
        <v>2017</v>
      </c>
      <c r="I35" s="5" t="s">
        <v>21</v>
      </c>
      <c r="J35" s="5" t="s">
        <v>281</v>
      </c>
      <c r="K35" s="5" t="s">
        <v>398</v>
      </c>
      <c r="L35" s="5" t="s">
        <v>540</v>
      </c>
      <c r="M35" s="5" t="s">
        <v>500</v>
      </c>
      <c r="N35" s="5" t="s">
        <v>282</v>
      </c>
      <c r="O35" s="5" t="s">
        <v>167</v>
      </c>
      <c r="P35" s="5" t="s">
        <v>283</v>
      </c>
      <c r="Q35" s="5" t="s">
        <v>169</v>
      </c>
      <c r="R35" s="5" t="s">
        <v>284</v>
      </c>
      <c r="S35" s="5" t="s">
        <v>501</v>
      </c>
      <c r="T35" s="5" t="s">
        <v>236</v>
      </c>
      <c r="U35" s="5" t="s">
        <v>541</v>
      </c>
      <c r="V35" s="5" t="s">
        <v>524</v>
      </c>
      <c r="W35" s="5" t="s">
        <v>285</v>
      </c>
      <c r="Y35" s="5" t="s">
        <v>399</v>
      </c>
    </row>
    <row r="36" spans="1:25" ht="12.5">
      <c r="A36" s="5">
        <v>392860</v>
      </c>
      <c r="B36" s="5" t="s">
        <v>19</v>
      </c>
      <c r="D36" s="5" t="s">
        <v>18</v>
      </c>
      <c r="E36" s="5" t="s">
        <v>124</v>
      </c>
      <c r="F36" s="5" t="s">
        <v>0</v>
      </c>
      <c r="G36" s="5">
        <v>2019</v>
      </c>
      <c r="H36" s="5">
        <v>2019</v>
      </c>
      <c r="I36" s="5" t="s">
        <v>125</v>
      </c>
      <c r="J36" s="5" t="s">
        <v>305</v>
      </c>
      <c r="K36" s="5" t="s">
        <v>409</v>
      </c>
      <c r="L36" s="5" t="s">
        <v>499</v>
      </c>
      <c r="M36" s="5" t="s">
        <v>500</v>
      </c>
      <c r="N36" s="5" t="s">
        <v>306</v>
      </c>
      <c r="O36" s="5" t="s">
        <v>167</v>
      </c>
      <c r="P36" s="5" t="s">
        <v>307</v>
      </c>
      <c r="Q36" s="5" t="s">
        <v>501</v>
      </c>
      <c r="R36" s="5" t="s">
        <v>236</v>
      </c>
      <c r="S36" s="5" t="s">
        <v>501</v>
      </c>
      <c r="T36" s="5" t="s">
        <v>236</v>
      </c>
      <c r="U36" s="5" t="s">
        <v>519</v>
      </c>
      <c r="V36" s="5" t="s">
        <v>520</v>
      </c>
      <c r="W36" s="5" t="s">
        <v>308</v>
      </c>
      <c r="Y36" s="5" t="s">
        <v>410</v>
      </c>
    </row>
    <row r="37" spans="1:25" ht="12.5">
      <c r="A37" s="5">
        <v>7953</v>
      </c>
      <c r="B37" s="5" t="s">
        <v>15</v>
      </c>
      <c r="D37" s="5" t="s">
        <v>16</v>
      </c>
      <c r="E37" s="5" t="s">
        <v>45</v>
      </c>
      <c r="F37" s="5" t="s">
        <v>0</v>
      </c>
      <c r="G37" s="5">
        <v>2012</v>
      </c>
      <c r="H37" s="5">
        <v>2012</v>
      </c>
      <c r="I37" s="5" t="s">
        <v>46</v>
      </c>
      <c r="J37" s="5" t="s">
        <v>197</v>
      </c>
      <c r="K37" s="5" t="s">
        <v>197</v>
      </c>
      <c r="L37" s="5" t="s">
        <v>499</v>
      </c>
      <c r="M37" s="5" t="s">
        <v>500</v>
      </c>
      <c r="N37" s="5" t="s">
        <v>198</v>
      </c>
      <c r="O37" s="5" t="s">
        <v>167</v>
      </c>
      <c r="P37" s="5" t="s">
        <v>371</v>
      </c>
      <c r="Q37" s="5" t="s">
        <v>169</v>
      </c>
      <c r="R37" s="5" t="s">
        <v>199</v>
      </c>
      <c r="S37" s="5" t="s">
        <v>501</v>
      </c>
      <c r="T37" s="5" t="s">
        <v>372</v>
      </c>
      <c r="U37" s="5" t="s">
        <v>530</v>
      </c>
      <c r="V37" s="5" t="s">
        <v>524</v>
      </c>
      <c r="W37" s="5" t="s">
        <v>200</v>
      </c>
      <c r="Y37" s="5" t="s">
        <v>446</v>
      </c>
    </row>
    <row r="38" spans="1:25" ht="12.5">
      <c r="A38" s="5">
        <v>127300</v>
      </c>
      <c r="B38" s="5" t="s">
        <v>19</v>
      </c>
      <c r="D38" s="5" t="s">
        <v>18</v>
      </c>
      <c r="E38" s="5" t="s">
        <v>54</v>
      </c>
      <c r="F38" s="5" t="s">
        <v>0</v>
      </c>
      <c r="G38" s="5">
        <v>2011</v>
      </c>
      <c r="H38" s="5">
        <v>2012</v>
      </c>
      <c r="I38" s="5" t="s">
        <v>25</v>
      </c>
      <c r="J38" s="5" t="s">
        <v>201</v>
      </c>
      <c r="K38" s="5" t="s">
        <v>373</v>
      </c>
      <c r="L38" s="5" t="s">
        <v>542</v>
      </c>
      <c r="M38" s="5" t="s">
        <v>514</v>
      </c>
      <c r="N38" s="5" t="s">
        <v>202</v>
      </c>
      <c r="O38" s="5" t="s">
        <v>501</v>
      </c>
      <c r="P38" s="5" t="s">
        <v>203</v>
      </c>
      <c r="Q38" s="5" t="s">
        <v>501</v>
      </c>
      <c r="R38" s="5" t="s">
        <v>204</v>
      </c>
      <c r="S38" s="5" t="s">
        <v>501</v>
      </c>
      <c r="T38" s="5" t="s">
        <v>236</v>
      </c>
      <c r="U38" s="5" t="s">
        <v>528</v>
      </c>
      <c r="V38" s="5" t="s">
        <v>520</v>
      </c>
      <c r="W38" s="5" t="s">
        <v>205</v>
      </c>
      <c r="Y38" s="5" t="s">
        <v>447</v>
      </c>
    </row>
    <row r="39" spans="1:25" ht="12.5">
      <c r="A39" s="5">
        <v>560</v>
      </c>
      <c r="B39" s="5" t="s">
        <v>33</v>
      </c>
      <c r="D39" s="5" t="s">
        <v>23</v>
      </c>
      <c r="E39" s="5" t="s">
        <v>34</v>
      </c>
      <c r="F39" s="5" t="s">
        <v>0</v>
      </c>
      <c r="G39" s="5">
        <v>2011</v>
      </c>
      <c r="H39" s="5">
        <v>2011</v>
      </c>
      <c r="I39" s="5" t="s">
        <v>35</v>
      </c>
      <c r="J39" s="5" t="s">
        <v>181</v>
      </c>
      <c r="K39" s="5" t="s">
        <v>364</v>
      </c>
      <c r="L39" s="5" t="s">
        <v>537</v>
      </c>
      <c r="M39" s="5" t="s">
        <v>514</v>
      </c>
      <c r="N39" s="5" t="s">
        <v>182</v>
      </c>
      <c r="O39" s="5" t="s">
        <v>167</v>
      </c>
      <c r="P39" s="5" t="s">
        <v>183</v>
      </c>
      <c r="Q39" s="5" t="s">
        <v>366</v>
      </c>
      <c r="R39" s="5" t="s">
        <v>184</v>
      </c>
      <c r="S39" s="5" t="s">
        <v>215</v>
      </c>
      <c r="T39" s="5" t="s">
        <v>365</v>
      </c>
      <c r="U39" s="5" t="s">
        <v>502</v>
      </c>
      <c r="V39" s="5" t="s">
        <v>503</v>
      </c>
      <c r="W39" s="5" t="s">
        <v>185</v>
      </c>
      <c r="Y39" s="5" t="s">
        <v>367</v>
      </c>
    </row>
    <row r="40" spans="1:25" ht="12.5">
      <c r="A40" s="5">
        <v>8410</v>
      </c>
      <c r="B40" s="5" t="s">
        <v>15</v>
      </c>
      <c r="D40" s="5" t="s">
        <v>16</v>
      </c>
      <c r="E40" s="5" t="s">
        <v>55</v>
      </c>
      <c r="F40" s="5" t="s">
        <v>0</v>
      </c>
      <c r="G40" s="5">
        <v>2013</v>
      </c>
      <c r="H40" s="5">
        <v>2013</v>
      </c>
      <c r="I40" s="5" t="s">
        <v>56</v>
      </c>
      <c r="J40" s="5" t="s">
        <v>206</v>
      </c>
      <c r="K40" s="5" t="s">
        <v>206</v>
      </c>
      <c r="L40" s="5" t="s">
        <v>509</v>
      </c>
      <c r="M40" s="5" t="s">
        <v>500</v>
      </c>
      <c r="N40" s="5" t="s">
        <v>207</v>
      </c>
      <c r="O40" s="5" t="s">
        <v>167</v>
      </c>
      <c r="P40" s="5" t="s">
        <v>208</v>
      </c>
      <c r="Q40" s="5" t="s">
        <v>169</v>
      </c>
      <c r="R40" s="5" t="s">
        <v>209</v>
      </c>
      <c r="S40" s="5" t="s">
        <v>501</v>
      </c>
      <c r="T40" s="5" t="s">
        <v>236</v>
      </c>
      <c r="U40" s="5" t="s">
        <v>533</v>
      </c>
      <c r="V40" s="5" t="s">
        <v>506</v>
      </c>
      <c r="W40" s="5" t="s">
        <v>210</v>
      </c>
      <c r="X40" s="5" t="s">
        <v>544</v>
      </c>
      <c r="Y40" s="5" t="s">
        <v>448</v>
      </c>
    </row>
    <row r="41" spans="1:25" ht="12.5">
      <c r="A41" s="5">
        <v>27494</v>
      </c>
      <c r="B41" s="5" t="s">
        <v>15</v>
      </c>
      <c r="D41" s="5" t="s">
        <v>16</v>
      </c>
      <c r="E41" s="5" t="s">
        <v>123</v>
      </c>
      <c r="F41" s="5" t="s">
        <v>0</v>
      </c>
      <c r="G41" s="5">
        <v>2019</v>
      </c>
      <c r="H41" s="5">
        <v>2019</v>
      </c>
      <c r="I41" s="5" t="s">
        <v>21</v>
      </c>
      <c r="J41" s="5" t="s">
        <v>300</v>
      </c>
      <c r="K41" s="5" t="s">
        <v>406</v>
      </c>
      <c r="L41" s="5" t="s">
        <v>526</v>
      </c>
      <c r="M41" s="5" t="s">
        <v>514</v>
      </c>
      <c r="N41" s="5" t="s">
        <v>301</v>
      </c>
      <c r="O41" s="5" t="s">
        <v>501</v>
      </c>
      <c r="P41" s="5" t="s">
        <v>302</v>
      </c>
      <c r="Q41" s="5" t="s">
        <v>289</v>
      </c>
      <c r="R41" s="5" t="s">
        <v>303</v>
      </c>
      <c r="S41" s="5" t="s">
        <v>501</v>
      </c>
      <c r="T41" s="5" t="s">
        <v>407</v>
      </c>
      <c r="U41" s="5" t="s">
        <v>541</v>
      </c>
      <c r="V41" s="5" t="s">
        <v>524</v>
      </c>
      <c r="W41" s="5" t="s">
        <v>304</v>
      </c>
      <c r="Y41" s="5" t="s">
        <v>408</v>
      </c>
    </row>
    <row r="42" spans="1:25" ht="12.5">
      <c r="A42" s="5">
        <v>234758</v>
      </c>
      <c r="B42" s="5" t="s">
        <v>19</v>
      </c>
      <c r="D42" s="5" t="s">
        <v>18</v>
      </c>
      <c r="E42" s="5" t="s">
        <v>67</v>
      </c>
      <c r="F42" s="5" t="s">
        <v>0</v>
      </c>
      <c r="G42" s="5">
        <v>2014</v>
      </c>
      <c r="H42" s="5">
        <v>2014</v>
      </c>
      <c r="I42" s="5" t="s">
        <v>21</v>
      </c>
      <c r="J42" s="5" t="s">
        <v>227</v>
      </c>
      <c r="K42" s="5" t="s">
        <v>381</v>
      </c>
      <c r="L42" s="5" t="s">
        <v>507</v>
      </c>
      <c r="M42" s="5" t="s">
        <v>500</v>
      </c>
      <c r="N42" s="5" t="s">
        <v>228</v>
      </c>
      <c r="O42" s="5" t="s">
        <v>501</v>
      </c>
      <c r="P42" s="5" t="s">
        <v>229</v>
      </c>
      <c r="Q42" s="5" t="s">
        <v>169</v>
      </c>
      <c r="R42" s="5" t="s">
        <v>230</v>
      </c>
      <c r="S42" s="5" t="s">
        <v>522</v>
      </c>
      <c r="T42" s="5" t="s">
        <v>382</v>
      </c>
      <c r="U42" s="5" t="s">
        <v>510</v>
      </c>
      <c r="V42" s="5" t="s">
        <v>511</v>
      </c>
      <c r="W42" s="5" t="s">
        <v>231</v>
      </c>
      <c r="Y42" s="5" t="s">
        <v>383</v>
      </c>
    </row>
    <row r="43" spans="1:25" ht="12.5">
      <c r="A43" s="5">
        <v>315641</v>
      </c>
      <c r="B43" s="5" t="s">
        <v>19</v>
      </c>
      <c r="D43" s="5" t="s">
        <v>461</v>
      </c>
      <c r="E43" s="5" t="s">
        <v>84</v>
      </c>
      <c r="F43" s="5" t="s">
        <v>0</v>
      </c>
      <c r="G43" s="5">
        <v>2016</v>
      </c>
      <c r="H43" s="5">
        <v>2016</v>
      </c>
      <c r="I43" s="5" t="s">
        <v>21</v>
      </c>
      <c r="J43" s="5" t="s">
        <v>256</v>
      </c>
      <c r="K43" s="5" t="s">
        <v>389</v>
      </c>
      <c r="L43" s="5" t="s">
        <v>509</v>
      </c>
      <c r="M43" s="5" t="s">
        <v>500</v>
      </c>
      <c r="N43" s="5" t="s">
        <v>257</v>
      </c>
      <c r="O43" s="5" t="s">
        <v>167</v>
      </c>
      <c r="P43" s="5" t="s">
        <v>258</v>
      </c>
      <c r="Q43" s="5" t="s">
        <v>169</v>
      </c>
      <c r="R43" s="5" t="s">
        <v>259</v>
      </c>
      <c r="S43" s="5" t="s">
        <v>501</v>
      </c>
      <c r="T43" s="5" t="s">
        <v>236</v>
      </c>
      <c r="U43" s="5" t="s">
        <v>508</v>
      </c>
      <c r="V43" s="5" t="s">
        <v>506</v>
      </c>
      <c r="W43" s="5" t="s">
        <v>260</v>
      </c>
      <c r="X43" s="5" t="s">
        <v>462</v>
      </c>
      <c r="Y43" s="5" t="s">
        <v>463</v>
      </c>
    </row>
  </sheetData>
  <autoFilter ref="A1:Y43" xr:uid="{00000000-0009-0000-0000-000008000000}"/>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F15"/>
  <sheetViews>
    <sheetView showGridLines="0" workbookViewId="0"/>
  </sheetViews>
  <sheetFormatPr defaultColWidth="12.6328125" defaultRowHeight="15.75" customHeight="1"/>
  <cols>
    <col min="1" max="1" width="22" customWidth="1"/>
    <col min="2" max="2" width="31.36328125" customWidth="1"/>
    <col min="3" max="3" width="57.08984375" customWidth="1"/>
  </cols>
  <sheetData>
    <row r="1" spans="1:6" ht="15.75" customHeight="1">
      <c r="A1" s="5" t="s">
        <v>492</v>
      </c>
      <c r="B1" s="5" t="s">
        <v>491</v>
      </c>
      <c r="C1" s="5" t="s">
        <v>490</v>
      </c>
      <c r="D1" s="5" t="s">
        <v>562</v>
      </c>
      <c r="E1" s="5" t="s">
        <v>563</v>
      </c>
      <c r="F1" s="5" t="s">
        <v>563</v>
      </c>
    </row>
    <row r="2" spans="1:6" ht="15.75" customHeight="1">
      <c r="A2" s="5" t="s">
        <v>514</v>
      </c>
      <c r="B2" s="5" t="s">
        <v>564</v>
      </c>
      <c r="C2" s="5"/>
      <c r="D2" s="5">
        <v>1</v>
      </c>
      <c r="E2" s="5">
        <v>5</v>
      </c>
      <c r="F2" s="43">
        <v>0.11904761904761904</v>
      </c>
    </row>
    <row r="3" spans="1:6" ht="15.75" customHeight="1">
      <c r="A3" s="5"/>
      <c r="B3" s="5" t="s">
        <v>565</v>
      </c>
      <c r="C3" s="5"/>
      <c r="D3" s="5">
        <v>1</v>
      </c>
      <c r="E3" s="5">
        <v>1</v>
      </c>
      <c r="F3" s="43">
        <v>2.3809523809523808E-2</v>
      </c>
    </row>
    <row r="4" spans="1:6" ht="15.75" customHeight="1">
      <c r="A4" s="5"/>
      <c r="B4" s="5" t="s">
        <v>566</v>
      </c>
      <c r="C4" s="5"/>
      <c r="D4" s="5">
        <v>1</v>
      </c>
      <c r="E4" s="5">
        <v>3</v>
      </c>
      <c r="F4" s="43">
        <v>7.1428571428571425E-2</v>
      </c>
    </row>
    <row r="5" spans="1:6" ht="15.75" customHeight="1">
      <c r="A5" s="5"/>
      <c r="B5" s="5" t="s">
        <v>567</v>
      </c>
      <c r="C5" s="5"/>
      <c r="D5" s="5">
        <v>1</v>
      </c>
      <c r="E5" s="5">
        <v>3</v>
      </c>
      <c r="F5" s="43">
        <v>7.1428571428571425E-2</v>
      </c>
    </row>
    <row r="6" spans="1:6" ht="15.75" customHeight="1">
      <c r="A6" s="5"/>
      <c r="B6" s="5" t="s">
        <v>568</v>
      </c>
      <c r="C6" s="5"/>
      <c r="D6" s="5">
        <v>1</v>
      </c>
      <c r="E6" s="5">
        <v>3</v>
      </c>
      <c r="F6" s="43">
        <v>7.1428571428571425E-2</v>
      </c>
    </row>
    <row r="7" spans="1:6" ht="15.75" customHeight="1">
      <c r="A7" s="5"/>
      <c r="B7" s="5" t="s">
        <v>569</v>
      </c>
      <c r="C7" s="5"/>
      <c r="D7" s="5">
        <v>1</v>
      </c>
      <c r="E7" s="5">
        <v>5</v>
      </c>
      <c r="F7" s="43">
        <v>0.11904761904761904</v>
      </c>
    </row>
    <row r="8" spans="1:6" ht="15.75" customHeight="1">
      <c r="A8" s="5"/>
      <c r="B8" s="5" t="s">
        <v>570</v>
      </c>
      <c r="C8" s="5"/>
      <c r="D8" s="5">
        <v>1</v>
      </c>
      <c r="E8" s="5">
        <v>1</v>
      </c>
      <c r="F8" s="43">
        <v>2.3809523809523808E-2</v>
      </c>
    </row>
    <row r="9" spans="1:6" ht="15.75" customHeight="1">
      <c r="A9" s="5" t="s">
        <v>571</v>
      </c>
      <c r="B9" s="5"/>
      <c r="C9" s="5"/>
      <c r="D9" s="5">
        <v>7</v>
      </c>
      <c r="E9" s="5">
        <v>21</v>
      </c>
      <c r="F9" s="43">
        <v>0.5</v>
      </c>
    </row>
    <row r="10" spans="1:6" ht="15.75" customHeight="1">
      <c r="A10" s="5" t="s">
        <v>500</v>
      </c>
      <c r="B10" s="5" t="s">
        <v>572</v>
      </c>
      <c r="C10" s="5"/>
      <c r="D10" s="5">
        <v>1</v>
      </c>
      <c r="E10" s="5">
        <v>7</v>
      </c>
      <c r="F10" s="43">
        <v>0.16666666666666666</v>
      </c>
    </row>
    <row r="11" spans="1:6" ht="15.75" customHeight="1">
      <c r="A11" s="5"/>
      <c r="B11" s="5" t="s">
        <v>573</v>
      </c>
      <c r="C11" s="5"/>
      <c r="D11" s="5">
        <v>1</v>
      </c>
      <c r="E11" s="5">
        <v>11</v>
      </c>
      <c r="F11" s="43">
        <v>0.26190476190476192</v>
      </c>
    </row>
    <row r="12" spans="1:6" ht="15.75" customHeight="1">
      <c r="A12" s="5"/>
      <c r="B12" s="5" t="s">
        <v>574</v>
      </c>
      <c r="C12" s="5"/>
      <c r="D12" s="5">
        <v>1</v>
      </c>
      <c r="E12" s="5">
        <v>1</v>
      </c>
      <c r="F12" s="43">
        <v>2.3809523809523808E-2</v>
      </c>
    </row>
    <row r="13" spans="1:6" ht="15.75" customHeight="1">
      <c r="A13" s="5"/>
      <c r="B13" s="5" t="s">
        <v>575</v>
      </c>
      <c r="C13" s="5"/>
      <c r="D13" s="5">
        <v>1</v>
      </c>
      <c r="E13" s="5">
        <v>2</v>
      </c>
      <c r="F13" s="43">
        <v>4.7619047619047616E-2</v>
      </c>
    </row>
    <row r="14" spans="1:6" ht="15.75" customHeight="1">
      <c r="A14" s="5" t="s">
        <v>576</v>
      </c>
      <c r="B14" s="5"/>
      <c r="C14" s="5"/>
      <c r="D14" s="5">
        <v>4</v>
      </c>
      <c r="E14" s="5">
        <v>21</v>
      </c>
      <c r="F14" s="43">
        <v>0.5</v>
      </c>
    </row>
    <row r="15" spans="1:6" ht="15.75" customHeight="1">
      <c r="A15" s="5" t="s">
        <v>577</v>
      </c>
      <c r="B15" s="5"/>
      <c r="C15" s="5"/>
      <c r="D15" s="5">
        <v>11</v>
      </c>
      <c r="E15" s="5">
        <v>42</v>
      </c>
      <c r="F15" s="43">
        <v>1</v>
      </c>
    </row>
  </sheetData>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9"/>
  <sheetViews>
    <sheetView showGridLines="0" workbookViewId="0"/>
  </sheetViews>
  <sheetFormatPr defaultColWidth="12.6328125" defaultRowHeight="15.75" customHeight="1"/>
  <sheetData>
    <row r="1" spans="1:3" ht="15.75" customHeight="1">
      <c r="A1" s="52"/>
      <c r="B1" s="50" t="s">
        <v>1128</v>
      </c>
      <c r="C1" s="59"/>
    </row>
    <row r="2" spans="1:3" ht="15.75" customHeight="1">
      <c r="A2" s="50" t="s">
        <v>493</v>
      </c>
      <c r="B2" s="52" t="s">
        <v>1131</v>
      </c>
      <c r="C2" s="60" t="s">
        <v>1131</v>
      </c>
    </row>
    <row r="3" spans="1:3" ht="15.75" customHeight="1">
      <c r="A3" s="52" t="s">
        <v>167</v>
      </c>
      <c r="B3" s="61">
        <v>21</v>
      </c>
      <c r="C3" s="62">
        <v>0.5</v>
      </c>
    </row>
    <row r="4" spans="1:3" ht="15.75" customHeight="1">
      <c r="A4" s="54" t="s">
        <v>501</v>
      </c>
      <c r="B4" s="64">
        <v>16</v>
      </c>
      <c r="C4" s="65">
        <v>0.38095238095238093</v>
      </c>
    </row>
    <row r="5" spans="1:3" ht="15.75" customHeight="1">
      <c r="A5" s="54" t="s">
        <v>394</v>
      </c>
      <c r="B5" s="64">
        <v>2</v>
      </c>
      <c r="C5" s="65">
        <v>4.7619047619047616E-2</v>
      </c>
    </row>
    <row r="6" spans="1:3" ht="15.75" customHeight="1">
      <c r="A6" s="54" t="s">
        <v>529</v>
      </c>
      <c r="B6" s="64">
        <v>1</v>
      </c>
      <c r="C6" s="65">
        <v>2.3809523809523808E-2</v>
      </c>
    </row>
    <row r="7" spans="1:3" ht="15.75" customHeight="1">
      <c r="A7" s="54" t="s">
        <v>466</v>
      </c>
      <c r="B7" s="64">
        <v>1</v>
      </c>
      <c r="C7" s="65">
        <v>2.3809523809523808E-2</v>
      </c>
    </row>
    <row r="8" spans="1:3" ht="15.75" customHeight="1">
      <c r="A8" s="54" t="s">
        <v>431</v>
      </c>
      <c r="B8" s="64">
        <v>1</v>
      </c>
      <c r="C8" s="65">
        <v>2.3809523809523808E-2</v>
      </c>
    </row>
    <row r="9" spans="1:3" ht="15.75" customHeight="1">
      <c r="A9" s="66" t="s">
        <v>1130</v>
      </c>
      <c r="B9" s="68">
        <v>42</v>
      </c>
      <c r="C9" s="69">
        <v>1</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9"/>
  <sheetViews>
    <sheetView showGridLines="0" workbookViewId="0"/>
  </sheetViews>
  <sheetFormatPr defaultColWidth="12.6328125" defaultRowHeight="15.75" customHeight="1"/>
  <cols>
    <col min="1" max="1" width="20.36328125" customWidth="1"/>
  </cols>
  <sheetData>
    <row r="1" spans="1:3" ht="15.75" customHeight="1">
      <c r="A1" s="52"/>
      <c r="B1" s="50" t="s">
        <v>1128</v>
      </c>
      <c r="C1" s="59"/>
    </row>
    <row r="2" spans="1:3" ht="15.75" customHeight="1">
      <c r="A2" s="50" t="s">
        <v>494</v>
      </c>
      <c r="B2" s="52" t="s">
        <v>1132</v>
      </c>
      <c r="C2" s="60" t="s">
        <v>1132</v>
      </c>
    </row>
    <row r="3" spans="1:3" ht="15.75" customHeight="1">
      <c r="A3" s="52" t="s">
        <v>521</v>
      </c>
      <c r="B3" s="61">
        <v>1</v>
      </c>
      <c r="C3" s="62">
        <v>2.3809523809523808E-2</v>
      </c>
    </row>
    <row r="4" spans="1:3" ht="15.75" customHeight="1">
      <c r="A4" s="54" t="s">
        <v>501</v>
      </c>
      <c r="B4" s="64">
        <v>22</v>
      </c>
      <c r="C4" s="65">
        <v>0.52380952380952384</v>
      </c>
    </row>
    <row r="5" spans="1:3" ht="15.75" customHeight="1">
      <c r="A5" s="54" t="s">
        <v>366</v>
      </c>
      <c r="B5" s="64">
        <v>3</v>
      </c>
      <c r="C5" s="65">
        <v>7.1428571428571425E-2</v>
      </c>
    </row>
    <row r="6" spans="1:3" ht="15.75" customHeight="1">
      <c r="A6" s="54" t="s">
        <v>538</v>
      </c>
      <c r="B6" s="64">
        <v>1</v>
      </c>
      <c r="C6" s="65">
        <v>2.3809523809523808E-2</v>
      </c>
    </row>
    <row r="7" spans="1:3" ht="15.75" customHeight="1">
      <c r="A7" s="54" t="s">
        <v>289</v>
      </c>
      <c r="B7" s="64">
        <v>5</v>
      </c>
      <c r="C7" s="65">
        <v>0.11904761904761904</v>
      </c>
    </row>
    <row r="8" spans="1:3" ht="15.75" customHeight="1">
      <c r="A8" s="54" t="s">
        <v>169</v>
      </c>
      <c r="B8" s="64">
        <v>10</v>
      </c>
      <c r="C8" s="65">
        <v>0.23809523809523808</v>
      </c>
    </row>
    <row r="9" spans="1:3" ht="15.75" customHeight="1">
      <c r="A9" s="66" t="s">
        <v>1130</v>
      </c>
      <c r="B9" s="68">
        <v>42</v>
      </c>
      <c r="C9" s="69">
        <v>1</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7"/>
  <sheetViews>
    <sheetView showGridLines="0" workbookViewId="0"/>
  </sheetViews>
  <sheetFormatPr defaultColWidth="12.6328125" defaultRowHeight="15.75" customHeight="1"/>
  <cols>
    <col min="1" max="1" width="20.36328125" customWidth="1"/>
  </cols>
  <sheetData>
    <row r="1" spans="1:3" ht="15.75" customHeight="1">
      <c r="A1" s="52"/>
      <c r="B1" s="50" t="s">
        <v>1128</v>
      </c>
      <c r="C1" s="59"/>
    </row>
    <row r="2" spans="1:3" ht="15.75" customHeight="1">
      <c r="A2" s="50" t="s">
        <v>495</v>
      </c>
      <c r="B2" s="52" t="s">
        <v>1133</v>
      </c>
      <c r="C2" s="60" t="s">
        <v>1133</v>
      </c>
    </row>
    <row r="3" spans="1:3" ht="15.75" customHeight="1">
      <c r="A3" s="52" t="s">
        <v>501</v>
      </c>
      <c r="B3" s="61">
        <v>34</v>
      </c>
      <c r="C3" s="62">
        <v>0.80952380952380953</v>
      </c>
    </row>
    <row r="4" spans="1:3" ht="15.75" customHeight="1">
      <c r="A4" s="54" t="s">
        <v>527</v>
      </c>
      <c r="B4" s="64">
        <v>1</v>
      </c>
      <c r="C4" s="65">
        <v>2.3809523809523808E-2</v>
      </c>
    </row>
    <row r="5" spans="1:3" ht="15.75" customHeight="1">
      <c r="A5" s="54" t="s">
        <v>215</v>
      </c>
      <c r="B5" s="64">
        <v>2</v>
      </c>
      <c r="C5" s="65">
        <v>4.7619047619047616E-2</v>
      </c>
    </row>
    <row r="6" spans="1:3" ht="15.75" customHeight="1">
      <c r="A6" s="54" t="s">
        <v>522</v>
      </c>
      <c r="B6" s="64">
        <v>5</v>
      </c>
      <c r="C6" s="65">
        <v>0.11904761904761904</v>
      </c>
    </row>
    <row r="7" spans="1:3" ht="15.75" customHeight="1">
      <c r="A7" s="66" t="s">
        <v>1130</v>
      </c>
      <c r="B7" s="68">
        <v>42</v>
      </c>
      <c r="C7" s="69">
        <v>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D13"/>
  <sheetViews>
    <sheetView showGridLines="0" workbookViewId="0"/>
  </sheetViews>
  <sheetFormatPr defaultColWidth="12.6328125" defaultRowHeight="15.75" customHeight="1"/>
  <cols>
    <col min="1" max="1" width="40.453125" customWidth="1"/>
    <col min="2" max="2" width="38.36328125" customWidth="1"/>
    <col min="3" max="3" width="43.36328125" customWidth="1"/>
  </cols>
  <sheetData>
    <row r="1" spans="1:4" ht="15.75" customHeight="1">
      <c r="A1" s="52"/>
      <c r="B1" s="58"/>
      <c r="C1" s="50" t="s">
        <v>1128</v>
      </c>
      <c r="D1" s="59"/>
    </row>
    <row r="2" spans="1:4" ht="15.75" customHeight="1">
      <c r="A2" s="50" t="s">
        <v>497</v>
      </c>
      <c r="B2" s="50" t="s">
        <v>496</v>
      </c>
      <c r="C2" s="52" t="s">
        <v>1129</v>
      </c>
      <c r="D2" s="60" t="s">
        <v>1129</v>
      </c>
    </row>
    <row r="3" spans="1:4" ht="15.75" customHeight="1">
      <c r="A3" s="52" t="s">
        <v>524</v>
      </c>
      <c r="B3" s="52" t="s">
        <v>557</v>
      </c>
      <c r="C3" s="61">
        <v>2</v>
      </c>
      <c r="D3" s="62">
        <v>0.1111111111111111</v>
      </c>
    </row>
    <row r="4" spans="1:4" ht="15.75" customHeight="1">
      <c r="A4" s="63"/>
      <c r="B4" s="54" t="s">
        <v>555</v>
      </c>
      <c r="C4" s="64">
        <v>1</v>
      </c>
      <c r="D4" s="65">
        <v>5.5555555555555552E-2</v>
      </c>
    </row>
    <row r="5" spans="1:4" ht="15.75" customHeight="1">
      <c r="A5" s="52" t="s">
        <v>553</v>
      </c>
      <c r="B5" s="52" t="s">
        <v>552</v>
      </c>
      <c r="C5" s="61">
        <v>4</v>
      </c>
      <c r="D5" s="62">
        <v>0.22222222222222221</v>
      </c>
    </row>
    <row r="6" spans="1:4" ht="15.75" customHeight="1">
      <c r="A6" s="52" t="s">
        <v>511</v>
      </c>
      <c r="B6" s="52" t="s">
        <v>510</v>
      </c>
      <c r="C6" s="61">
        <v>3</v>
      </c>
      <c r="D6" s="62">
        <v>0.16666666666666666</v>
      </c>
    </row>
    <row r="7" spans="1:4" ht="15.75" customHeight="1">
      <c r="A7" s="52" t="s">
        <v>549</v>
      </c>
      <c r="B7" s="52" t="s">
        <v>548</v>
      </c>
      <c r="C7" s="61">
        <v>1</v>
      </c>
      <c r="D7" s="62">
        <v>5.5555555555555552E-2</v>
      </c>
    </row>
    <row r="8" spans="1:4" ht="15.75" customHeight="1">
      <c r="A8" s="63"/>
      <c r="B8" s="54" t="s">
        <v>550</v>
      </c>
      <c r="C8" s="64">
        <v>2</v>
      </c>
      <c r="D8" s="65">
        <v>0.1111111111111111</v>
      </c>
    </row>
    <row r="9" spans="1:4" ht="15.75" customHeight="1">
      <c r="A9" s="52" t="s">
        <v>520</v>
      </c>
      <c r="B9" s="52" t="s">
        <v>556</v>
      </c>
      <c r="C9" s="61">
        <v>1</v>
      </c>
      <c r="D9" s="62">
        <v>5.5555555555555552E-2</v>
      </c>
    </row>
    <row r="10" spans="1:4" ht="15.75" customHeight="1">
      <c r="A10" s="63"/>
      <c r="B10" s="54" t="s">
        <v>554</v>
      </c>
      <c r="C10" s="64">
        <v>2</v>
      </c>
      <c r="D10" s="65">
        <v>0.1111111111111111</v>
      </c>
    </row>
    <row r="11" spans="1:4" ht="15.75" customHeight="1">
      <c r="A11" s="52" t="s">
        <v>547</v>
      </c>
      <c r="B11" s="52" t="s">
        <v>558</v>
      </c>
      <c r="C11" s="61">
        <v>1</v>
      </c>
      <c r="D11" s="62">
        <v>5.5555555555555552E-2</v>
      </c>
    </row>
    <row r="12" spans="1:4" ht="15.75" customHeight="1">
      <c r="A12" s="63"/>
      <c r="B12" s="54" t="s">
        <v>546</v>
      </c>
      <c r="C12" s="64">
        <v>1</v>
      </c>
      <c r="D12" s="65">
        <v>5.5555555555555552E-2</v>
      </c>
    </row>
    <row r="13" spans="1:4" ht="15.75" customHeight="1">
      <c r="A13" s="66" t="s">
        <v>1130</v>
      </c>
      <c r="B13" s="67"/>
      <c r="C13" s="68">
        <v>18</v>
      </c>
      <c r="D13" s="69">
        <v>1</v>
      </c>
    </row>
  </sheetData>
  <printOptions horizontalCentered="1" gridLines="1"/>
  <pageMargins left="0.7" right="0.7" top="0.75" bottom="0.75" header="0" footer="0"/>
  <pageSetup paperSize="9"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D24"/>
  <sheetViews>
    <sheetView showGridLines="0" workbookViewId="0"/>
  </sheetViews>
  <sheetFormatPr defaultColWidth="12.6328125" defaultRowHeight="15.75" customHeight="1"/>
  <cols>
    <col min="1" max="1" width="40.453125" customWidth="1"/>
    <col min="2" max="2" width="38.36328125" customWidth="1"/>
    <col min="3" max="3" width="43.36328125" customWidth="1"/>
  </cols>
  <sheetData>
    <row r="1" spans="1:4" ht="15.75" customHeight="1">
      <c r="A1" s="52"/>
      <c r="B1" s="58"/>
      <c r="C1" s="50" t="s">
        <v>1128</v>
      </c>
      <c r="D1" s="59"/>
    </row>
    <row r="2" spans="1:4" ht="15.75" customHeight="1">
      <c r="A2" s="50" t="s">
        <v>492</v>
      </c>
      <c r="B2" s="50" t="s">
        <v>496</v>
      </c>
      <c r="C2" s="52" t="s">
        <v>1129</v>
      </c>
      <c r="D2" s="60" t="s">
        <v>1129</v>
      </c>
    </row>
    <row r="3" spans="1:4" ht="15.75" customHeight="1">
      <c r="A3" s="52" t="s">
        <v>551</v>
      </c>
      <c r="B3" s="52" t="s">
        <v>557</v>
      </c>
      <c r="C3" s="61">
        <v>1</v>
      </c>
      <c r="D3" s="62">
        <v>2.3809523809523808E-2</v>
      </c>
    </row>
    <row r="4" spans="1:4" ht="15.75" customHeight="1">
      <c r="A4" s="63"/>
      <c r="B4" s="54" t="s">
        <v>510</v>
      </c>
      <c r="C4" s="64">
        <v>4</v>
      </c>
      <c r="D4" s="65">
        <v>9.5238095238095233E-2</v>
      </c>
    </row>
    <row r="5" spans="1:4" ht="15.75" customHeight="1">
      <c r="A5" s="63"/>
      <c r="B5" s="54" t="s">
        <v>560</v>
      </c>
      <c r="C5" s="64">
        <v>1</v>
      </c>
      <c r="D5" s="65">
        <v>2.3809523809523808E-2</v>
      </c>
    </row>
    <row r="6" spans="1:4" ht="15.75" customHeight="1">
      <c r="A6" s="63"/>
      <c r="B6" s="54" t="s">
        <v>561</v>
      </c>
      <c r="C6" s="64">
        <v>1</v>
      </c>
      <c r="D6" s="65">
        <v>2.3809523809523808E-2</v>
      </c>
    </row>
    <row r="7" spans="1:4" ht="15.75" customHeight="1">
      <c r="A7" s="63"/>
      <c r="B7" s="54" t="s">
        <v>552</v>
      </c>
      <c r="C7" s="64">
        <v>1</v>
      </c>
      <c r="D7" s="65">
        <v>2.3809523809523808E-2</v>
      </c>
    </row>
    <row r="8" spans="1:4" ht="15.75" customHeight="1">
      <c r="A8" s="63"/>
      <c r="B8" s="54" t="s">
        <v>556</v>
      </c>
      <c r="C8" s="64">
        <v>2</v>
      </c>
      <c r="D8" s="65">
        <v>4.7619047619047616E-2</v>
      </c>
    </row>
    <row r="9" spans="1:4" ht="15.75" customHeight="1">
      <c r="A9" s="63"/>
      <c r="B9" s="54" t="s">
        <v>558</v>
      </c>
      <c r="C9" s="64">
        <v>2</v>
      </c>
      <c r="D9" s="65">
        <v>4.7619047619047616E-2</v>
      </c>
    </row>
    <row r="10" spans="1:4" ht="15.75" customHeight="1">
      <c r="A10" s="63"/>
      <c r="B10" s="54" t="s">
        <v>555</v>
      </c>
      <c r="C10" s="64">
        <v>1</v>
      </c>
      <c r="D10" s="65">
        <v>2.3809523809523808E-2</v>
      </c>
    </row>
    <row r="11" spans="1:4" ht="15.75" customHeight="1">
      <c r="A11" s="63"/>
      <c r="B11" s="54" t="s">
        <v>554</v>
      </c>
      <c r="C11" s="64">
        <v>5</v>
      </c>
      <c r="D11" s="65">
        <v>0.11904761904761904</v>
      </c>
    </row>
    <row r="12" spans="1:4" ht="15.75" customHeight="1">
      <c r="A12" s="63"/>
      <c r="B12" s="54" t="s">
        <v>546</v>
      </c>
      <c r="C12" s="64">
        <v>2</v>
      </c>
      <c r="D12" s="65">
        <v>4.7619047619047616E-2</v>
      </c>
    </row>
    <row r="13" spans="1:4" ht="15.75" customHeight="1">
      <c r="A13" s="63"/>
      <c r="B13" s="54" t="s">
        <v>550</v>
      </c>
      <c r="C13" s="64">
        <v>1</v>
      </c>
      <c r="D13" s="65">
        <v>2.3809523809523808E-2</v>
      </c>
    </row>
    <row r="14" spans="1:4" ht="15.75" customHeight="1">
      <c r="A14" s="52" t="s">
        <v>545</v>
      </c>
      <c r="B14" s="52" t="s">
        <v>557</v>
      </c>
      <c r="C14" s="61">
        <v>2</v>
      </c>
      <c r="D14" s="62">
        <v>4.7619047619047616E-2</v>
      </c>
    </row>
    <row r="15" spans="1:4" ht="15.75" customHeight="1">
      <c r="A15" s="63"/>
      <c r="B15" s="54" t="s">
        <v>548</v>
      </c>
      <c r="C15" s="64">
        <v>1</v>
      </c>
      <c r="D15" s="65">
        <v>2.3809523809523808E-2</v>
      </c>
    </row>
    <row r="16" spans="1:4" ht="15.75" customHeight="1">
      <c r="A16" s="63"/>
      <c r="B16" s="54" t="s">
        <v>510</v>
      </c>
      <c r="C16" s="64">
        <v>6</v>
      </c>
      <c r="D16" s="65">
        <v>0.14285714285714285</v>
      </c>
    </row>
    <row r="17" spans="1:4" ht="15.75" customHeight="1">
      <c r="A17" s="63"/>
      <c r="B17" s="54" t="s">
        <v>561</v>
      </c>
      <c r="C17" s="64">
        <v>1</v>
      </c>
      <c r="D17" s="65">
        <v>2.3809523809523808E-2</v>
      </c>
    </row>
    <row r="18" spans="1:4" ht="15.75" customHeight="1">
      <c r="A18" s="63"/>
      <c r="B18" s="54" t="s">
        <v>552</v>
      </c>
      <c r="C18" s="64">
        <v>3</v>
      </c>
      <c r="D18" s="65">
        <v>7.1428571428571425E-2</v>
      </c>
    </row>
    <row r="19" spans="1:4" ht="15.75" customHeight="1">
      <c r="A19" s="63"/>
      <c r="B19" s="54" t="s">
        <v>558</v>
      </c>
      <c r="C19" s="64">
        <v>1</v>
      </c>
      <c r="D19" s="65">
        <v>2.3809523809523808E-2</v>
      </c>
    </row>
    <row r="20" spans="1:4" ht="15.75" customHeight="1">
      <c r="A20" s="63"/>
      <c r="B20" s="54" t="s">
        <v>554</v>
      </c>
      <c r="C20" s="64">
        <v>1</v>
      </c>
      <c r="D20" s="65">
        <v>2.3809523809523808E-2</v>
      </c>
    </row>
    <row r="21" spans="1:4" ht="15.75" customHeight="1">
      <c r="A21" s="63"/>
      <c r="B21" s="54" t="s">
        <v>546</v>
      </c>
      <c r="C21" s="64">
        <v>1</v>
      </c>
      <c r="D21" s="65">
        <v>2.3809523809523808E-2</v>
      </c>
    </row>
    <row r="22" spans="1:4" ht="12.5">
      <c r="A22" s="63"/>
      <c r="B22" s="54" t="s">
        <v>559</v>
      </c>
      <c r="C22" s="64">
        <v>3</v>
      </c>
      <c r="D22" s="65">
        <v>7.1428571428571425E-2</v>
      </c>
    </row>
    <row r="23" spans="1:4" ht="12.5">
      <c r="A23" s="63"/>
      <c r="B23" s="54" t="s">
        <v>550</v>
      </c>
      <c r="C23" s="64">
        <v>2</v>
      </c>
      <c r="D23" s="65">
        <v>4.7619047619047616E-2</v>
      </c>
    </row>
    <row r="24" spans="1:4" ht="15.75" customHeight="1">
      <c r="A24" s="66" t="s">
        <v>1130</v>
      </c>
      <c r="B24" s="67"/>
      <c r="C24" s="68">
        <v>42</v>
      </c>
      <c r="D24" s="69">
        <v>1</v>
      </c>
    </row>
  </sheetData>
  <printOptions horizontalCentered="1" gridLines="1"/>
  <pageMargins left="0.7" right="0.7" top="0.75" bottom="0.75" header="0" footer="0"/>
  <pageSetup paperSize="9"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D20"/>
  <sheetViews>
    <sheetView showGridLines="0" workbookViewId="0"/>
  </sheetViews>
  <sheetFormatPr defaultColWidth="12.6328125" defaultRowHeight="15.75" customHeight="1"/>
  <cols>
    <col min="1" max="1" width="40.453125" customWidth="1"/>
    <col min="2" max="2" width="38.36328125" customWidth="1"/>
    <col min="3" max="3" width="43.36328125" customWidth="1"/>
  </cols>
  <sheetData>
    <row r="1" spans="1:4" ht="15.75" customHeight="1">
      <c r="A1" s="52"/>
      <c r="B1" s="58"/>
      <c r="C1" s="50" t="s">
        <v>1128</v>
      </c>
      <c r="D1" s="59"/>
    </row>
    <row r="2" spans="1:4" ht="15.75" customHeight="1">
      <c r="A2" s="50" t="s">
        <v>491</v>
      </c>
      <c r="B2" s="50" t="s">
        <v>496</v>
      </c>
      <c r="C2" s="52" t="s">
        <v>1129</v>
      </c>
      <c r="D2" s="60" t="s">
        <v>1129</v>
      </c>
    </row>
    <row r="3" spans="1:4" ht="15.75" customHeight="1">
      <c r="A3" s="52" t="s">
        <v>509</v>
      </c>
      <c r="B3" s="52" t="s">
        <v>510</v>
      </c>
      <c r="C3" s="61">
        <v>5</v>
      </c>
      <c r="D3" s="62">
        <v>0.17857142857142858</v>
      </c>
    </row>
    <row r="4" spans="1:4" ht="15.75" customHeight="1">
      <c r="A4" s="63"/>
      <c r="B4" s="54" t="s">
        <v>559</v>
      </c>
      <c r="C4" s="64">
        <v>1</v>
      </c>
      <c r="D4" s="65">
        <v>3.5714285714285712E-2</v>
      </c>
    </row>
    <row r="5" spans="1:4" ht="15.75" customHeight="1">
      <c r="A5" s="63"/>
      <c r="B5" s="54" t="s">
        <v>550</v>
      </c>
      <c r="C5" s="64">
        <v>1</v>
      </c>
      <c r="D5" s="65">
        <v>3.5714285714285712E-2</v>
      </c>
    </row>
    <row r="6" spans="1:4" ht="15.75" customHeight="1">
      <c r="A6" s="52" t="s">
        <v>526</v>
      </c>
      <c r="B6" s="52" t="s">
        <v>557</v>
      </c>
      <c r="C6" s="61">
        <v>1</v>
      </c>
      <c r="D6" s="62">
        <v>3.5714285714285712E-2</v>
      </c>
    </row>
    <row r="7" spans="1:4" ht="15.75" customHeight="1">
      <c r="A7" s="63"/>
      <c r="B7" s="54" t="s">
        <v>510</v>
      </c>
      <c r="C7" s="64">
        <v>2</v>
      </c>
      <c r="D7" s="65">
        <v>7.1428571428571425E-2</v>
      </c>
    </row>
    <row r="8" spans="1:4" ht="15.75" customHeight="1">
      <c r="A8" s="63"/>
      <c r="B8" s="54" t="s">
        <v>561</v>
      </c>
      <c r="C8" s="64">
        <v>1</v>
      </c>
      <c r="D8" s="65">
        <v>3.5714285714285712E-2</v>
      </c>
    </row>
    <row r="9" spans="1:4" ht="15.75" customHeight="1">
      <c r="A9" s="63"/>
      <c r="B9" s="54" t="s">
        <v>556</v>
      </c>
      <c r="C9" s="64">
        <v>1</v>
      </c>
      <c r="D9" s="65">
        <v>3.5714285714285712E-2</v>
      </c>
    </row>
    <row r="10" spans="1:4" ht="15.75" customHeight="1">
      <c r="A10" s="52" t="s">
        <v>499</v>
      </c>
      <c r="B10" s="52" t="s">
        <v>557</v>
      </c>
      <c r="C10" s="61">
        <v>2</v>
      </c>
      <c r="D10" s="62">
        <v>7.1428571428571425E-2</v>
      </c>
    </row>
    <row r="11" spans="1:4" ht="15.75" customHeight="1">
      <c r="A11" s="63"/>
      <c r="B11" s="54" t="s">
        <v>548</v>
      </c>
      <c r="C11" s="64">
        <v>1</v>
      </c>
      <c r="D11" s="65">
        <v>3.5714285714285712E-2</v>
      </c>
    </row>
    <row r="12" spans="1:4" ht="15.75" customHeight="1">
      <c r="A12" s="63"/>
      <c r="B12" s="54" t="s">
        <v>552</v>
      </c>
      <c r="C12" s="64">
        <v>3</v>
      </c>
      <c r="D12" s="65">
        <v>0.10714285714285714</v>
      </c>
    </row>
    <row r="13" spans="1:4" ht="15.75" customHeight="1">
      <c r="A13" s="63"/>
      <c r="B13" s="54" t="s">
        <v>558</v>
      </c>
      <c r="C13" s="64">
        <v>1</v>
      </c>
      <c r="D13" s="65">
        <v>3.5714285714285712E-2</v>
      </c>
    </row>
    <row r="14" spans="1:4" ht="15.75" customHeight="1">
      <c r="A14" s="63"/>
      <c r="B14" s="54" t="s">
        <v>554</v>
      </c>
      <c r="C14" s="64">
        <v>1</v>
      </c>
      <c r="D14" s="65">
        <v>3.5714285714285712E-2</v>
      </c>
    </row>
    <row r="15" spans="1:4" ht="15.75" customHeight="1">
      <c r="A15" s="63"/>
      <c r="B15" s="54" t="s">
        <v>546</v>
      </c>
      <c r="C15" s="64">
        <v>1</v>
      </c>
      <c r="D15" s="65">
        <v>3.5714285714285712E-2</v>
      </c>
    </row>
    <row r="16" spans="1:4" ht="15.75" customHeight="1">
      <c r="A16" s="63"/>
      <c r="B16" s="54" t="s">
        <v>559</v>
      </c>
      <c r="C16" s="64">
        <v>2</v>
      </c>
      <c r="D16" s="65">
        <v>7.1428571428571425E-2</v>
      </c>
    </row>
    <row r="17" spans="1:4" ht="15.75" customHeight="1">
      <c r="A17" s="52" t="s">
        <v>525</v>
      </c>
      <c r="B17" s="52" t="s">
        <v>510</v>
      </c>
      <c r="C17" s="61">
        <v>1</v>
      </c>
      <c r="D17" s="62">
        <v>3.5714285714285712E-2</v>
      </c>
    </row>
    <row r="18" spans="1:4" ht="15.75" customHeight="1">
      <c r="A18" s="63"/>
      <c r="B18" s="54" t="s">
        <v>560</v>
      </c>
      <c r="C18" s="64">
        <v>1</v>
      </c>
      <c r="D18" s="65">
        <v>3.5714285714285712E-2</v>
      </c>
    </row>
    <row r="19" spans="1:4" ht="15.75" customHeight="1">
      <c r="A19" s="63"/>
      <c r="B19" s="54" t="s">
        <v>554</v>
      </c>
      <c r="C19" s="64">
        <v>3</v>
      </c>
      <c r="D19" s="65">
        <v>0.10714285714285714</v>
      </c>
    </row>
    <row r="20" spans="1:4" ht="15.75" customHeight="1">
      <c r="A20" s="66" t="s">
        <v>1130</v>
      </c>
      <c r="B20" s="67"/>
      <c r="C20" s="68">
        <v>28</v>
      </c>
      <c r="D20" s="69">
        <v>1</v>
      </c>
    </row>
  </sheetData>
  <printOptions horizontalCentered="1" gridLines="1"/>
  <pageMargins left="0.7" right="0.7" top="0.75" bottom="0.75" header="0" footer="0"/>
  <pageSetup paperSize="9" fitToHeight="0" pageOrder="overThenDown" orientation="landscape"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C14"/>
  <sheetViews>
    <sheetView showGridLines="0" workbookViewId="0"/>
  </sheetViews>
  <sheetFormatPr defaultColWidth="12.6328125" defaultRowHeight="15.75" customHeight="1"/>
  <cols>
    <col min="1" max="1" width="40.453125" customWidth="1"/>
    <col min="2" max="2" width="38.36328125" customWidth="1"/>
    <col min="3" max="3" width="43.36328125" customWidth="1"/>
  </cols>
  <sheetData>
    <row r="1" spans="1:3" ht="15.75" customHeight="1">
      <c r="A1" s="50" t="s">
        <v>492</v>
      </c>
      <c r="B1" s="50" t="s">
        <v>497</v>
      </c>
      <c r="C1" s="51" t="s">
        <v>1127</v>
      </c>
    </row>
    <row r="2" spans="1:3" ht="15.75" customHeight="1">
      <c r="A2" s="52" t="s">
        <v>551</v>
      </c>
      <c r="B2" s="52" t="s">
        <v>524</v>
      </c>
      <c r="C2" s="53">
        <v>3</v>
      </c>
    </row>
    <row r="3" spans="1:3" ht="15.75" customHeight="1">
      <c r="A3" s="63"/>
      <c r="B3" s="54" t="s">
        <v>553</v>
      </c>
      <c r="C3" s="55">
        <v>1</v>
      </c>
    </row>
    <row r="4" spans="1:3" ht="15.75" customHeight="1">
      <c r="A4" s="63"/>
      <c r="B4" s="54" t="s">
        <v>511</v>
      </c>
      <c r="C4" s="55">
        <v>4</v>
      </c>
    </row>
    <row r="5" spans="1:3" ht="15.75" customHeight="1">
      <c r="A5" s="63"/>
      <c r="B5" s="54" t="s">
        <v>549</v>
      </c>
      <c r="C5" s="55">
        <v>2</v>
      </c>
    </row>
    <row r="6" spans="1:3" ht="15.75" customHeight="1">
      <c r="A6" s="63"/>
      <c r="B6" s="54" t="s">
        <v>520</v>
      </c>
      <c r="C6" s="55">
        <v>7</v>
      </c>
    </row>
    <row r="7" spans="1:3" ht="15.75" customHeight="1">
      <c r="A7" s="63"/>
      <c r="B7" s="54" t="s">
        <v>547</v>
      </c>
      <c r="C7" s="55">
        <v>4</v>
      </c>
    </row>
    <row r="8" spans="1:3" ht="15.75" customHeight="1">
      <c r="A8" s="52" t="s">
        <v>545</v>
      </c>
      <c r="B8" s="52" t="s">
        <v>524</v>
      </c>
      <c r="C8" s="53">
        <v>3</v>
      </c>
    </row>
    <row r="9" spans="1:3" ht="15.75" customHeight="1">
      <c r="A9" s="63"/>
      <c r="B9" s="54" t="s">
        <v>553</v>
      </c>
      <c r="C9" s="55">
        <v>3</v>
      </c>
    </row>
    <row r="10" spans="1:3" ht="15.75" customHeight="1">
      <c r="A10" s="63"/>
      <c r="B10" s="54" t="s">
        <v>511</v>
      </c>
      <c r="C10" s="55">
        <v>6</v>
      </c>
    </row>
    <row r="11" spans="1:3" ht="15.75" customHeight="1">
      <c r="A11" s="63"/>
      <c r="B11" s="54" t="s">
        <v>549</v>
      </c>
      <c r="C11" s="55">
        <v>6</v>
      </c>
    </row>
    <row r="12" spans="1:3" ht="15.75" customHeight="1">
      <c r="A12" s="63"/>
      <c r="B12" s="54" t="s">
        <v>520</v>
      </c>
      <c r="C12" s="55">
        <v>1</v>
      </c>
    </row>
    <row r="13" spans="1:3" ht="15.75" customHeight="1">
      <c r="A13" s="63"/>
      <c r="B13" s="54" t="s">
        <v>547</v>
      </c>
      <c r="C13" s="55">
        <v>2</v>
      </c>
    </row>
    <row r="14" spans="1:3" ht="15.75" customHeight="1">
      <c r="A14" s="66" t="s">
        <v>1130</v>
      </c>
      <c r="B14" s="67"/>
      <c r="C14" s="70">
        <v>42</v>
      </c>
    </row>
  </sheetData>
  <printOptions horizontalCentered="1" gridLines="1"/>
  <pageMargins left="0.7" right="0.7" top="0.75" bottom="0.75" header="0" footer="0"/>
  <pageSetup paperSize="9"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M263"/>
  <sheetViews>
    <sheetView workbookViewId="0">
      <selection activeCell="L1" sqref="L1"/>
    </sheetView>
  </sheetViews>
  <sheetFormatPr defaultColWidth="12.6328125" defaultRowHeight="15.75" customHeight="1"/>
  <sheetData>
    <row r="1" spans="1:12" ht="15.75" customHeight="1">
      <c r="A1" s="44" t="s">
        <v>6</v>
      </c>
      <c r="B1" s="44" t="s">
        <v>491</v>
      </c>
      <c r="C1" s="44" t="s">
        <v>492</v>
      </c>
      <c r="D1" s="44" t="s">
        <v>493</v>
      </c>
      <c r="E1" s="44" t="s">
        <v>494</v>
      </c>
      <c r="F1" s="44" t="s">
        <v>495</v>
      </c>
      <c r="G1" s="44" t="s">
        <v>496</v>
      </c>
      <c r="H1" s="44" t="s">
        <v>497</v>
      </c>
      <c r="I1" s="44" t="s">
        <v>498</v>
      </c>
      <c r="J1" s="5" t="s">
        <v>578</v>
      </c>
      <c r="K1" s="5" t="s">
        <v>579</v>
      </c>
      <c r="L1" s="5" t="s">
        <v>580</v>
      </c>
    </row>
    <row r="2" spans="1:12" ht="15.75" customHeight="1">
      <c r="A2" s="45">
        <v>31614</v>
      </c>
      <c r="B2" s="46" t="s">
        <v>507</v>
      </c>
      <c r="C2" s="46" t="s">
        <v>500</v>
      </c>
      <c r="D2" s="46" t="s">
        <v>167</v>
      </c>
      <c r="E2" s="46" t="s">
        <v>169</v>
      </c>
      <c r="F2" s="46" t="s">
        <v>501</v>
      </c>
      <c r="G2" s="46" t="s">
        <v>508</v>
      </c>
      <c r="H2" s="46" t="s">
        <v>506</v>
      </c>
      <c r="I2" s="46" t="s">
        <v>581</v>
      </c>
      <c r="J2" s="46" t="s">
        <v>582</v>
      </c>
      <c r="K2" s="46" t="s">
        <v>583</v>
      </c>
      <c r="L2" s="47" t="s">
        <v>584</v>
      </c>
    </row>
    <row r="3" spans="1:12" ht="15.75" customHeight="1">
      <c r="A3" s="45">
        <v>323107</v>
      </c>
      <c r="B3" s="46" t="s">
        <v>499</v>
      </c>
      <c r="C3" s="46" t="s">
        <v>500</v>
      </c>
      <c r="D3" s="46" t="s">
        <v>167</v>
      </c>
      <c r="E3" s="46" t="s">
        <v>501</v>
      </c>
      <c r="F3" s="46" t="s">
        <v>501</v>
      </c>
      <c r="G3" s="46" t="s">
        <v>515</v>
      </c>
      <c r="H3" s="46" t="s">
        <v>516</v>
      </c>
      <c r="I3" s="46" t="s">
        <v>585</v>
      </c>
      <c r="J3" s="46" t="s">
        <v>586</v>
      </c>
      <c r="K3" s="46" t="s">
        <v>587</v>
      </c>
      <c r="L3" s="47" t="s">
        <v>584</v>
      </c>
    </row>
    <row r="4" spans="1:12" ht="15.75" customHeight="1">
      <c r="A4" s="45">
        <v>194180</v>
      </c>
      <c r="B4" s="46" t="s">
        <v>526</v>
      </c>
      <c r="C4" s="46" t="s">
        <v>514</v>
      </c>
      <c r="D4" s="46" t="s">
        <v>431</v>
      </c>
      <c r="E4" s="46" t="s">
        <v>501</v>
      </c>
      <c r="F4" s="46" t="s">
        <v>501</v>
      </c>
      <c r="G4" s="46" t="s">
        <v>510</v>
      </c>
      <c r="H4" s="46" t="s">
        <v>511</v>
      </c>
      <c r="I4" s="46" t="s">
        <v>588</v>
      </c>
      <c r="J4" s="46" t="s">
        <v>586</v>
      </c>
      <c r="K4" s="46" t="s">
        <v>587</v>
      </c>
      <c r="L4" s="47" t="s">
        <v>584</v>
      </c>
    </row>
    <row r="5" spans="1:12" ht="15.75" customHeight="1">
      <c r="A5" s="45">
        <v>323107</v>
      </c>
      <c r="B5" s="46" t="s">
        <v>499</v>
      </c>
      <c r="C5" s="46" t="s">
        <v>500</v>
      </c>
      <c r="D5" s="46" t="s">
        <v>167</v>
      </c>
      <c r="E5" s="46" t="s">
        <v>501</v>
      </c>
      <c r="F5" s="46" t="s">
        <v>501</v>
      </c>
      <c r="G5" s="46" t="s">
        <v>515</v>
      </c>
      <c r="H5" s="46" t="s">
        <v>516</v>
      </c>
      <c r="I5" s="46" t="s">
        <v>589</v>
      </c>
      <c r="J5" s="46" t="s">
        <v>590</v>
      </c>
      <c r="K5" s="46" t="s">
        <v>587</v>
      </c>
      <c r="L5" s="47" t="s">
        <v>584</v>
      </c>
    </row>
    <row r="6" spans="1:12" ht="15.75" customHeight="1">
      <c r="A6" s="45">
        <v>240325</v>
      </c>
      <c r="B6" s="46" t="s">
        <v>513</v>
      </c>
      <c r="C6" s="46" t="s">
        <v>514</v>
      </c>
      <c r="D6" s="46" t="s">
        <v>167</v>
      </c>
      <c r="E6" s="46" t="s">
        <v>289</v>
      </c>
      <c r="F6" s="46" t="s">
        <v>501</v>
      </c>
      <c r="G6" s="46" t="s">
        <v>515</v>
      </c>
      <c r="H6" s="46" t="s">
        <v>516</v>
      </c>
      <c r="I6" s="46" t="s">
        <v>591</v>
      </c>
      <c r="J6" s="46" t="s">
        <v>592</v>
      </c>
      <c r="K6" s="46" t="s">
        <v>592</v>
      </c>
      <c r="L6" s="5" t="s">
        <v>593</v>
      </c>
    </row>
    <row r="7" spans="1:12" ht="15.75" customHeight="1">
      <c r="A7" s="45">
        <v>323107</v>
      </c>
      <c r="B7" s="46" t="s">
        <v>499</v>
      </c>
      <c r="C7" s="46" t="s">
        <v>500</v>
      </c>
      <c r="D7" s="46" t="s">
        <v>167</v>
      </c>
      <c r="E7" s="46" t="s">
        <v>501</v>
      </c>
      <c r="F7" s="46" t="s">
        <v>501</v>
      </c>
      <c r="G7" s="46" t="s">
        <v>515</v>
      </c>
      <c r="H7" s="46" t="s">
        <v>516</v>
      </c>
      <c r="I7" s="46" t="s">
        <v>594</v>
      </c>
      <c r="J7" s="46" t="s">
        <v>595</v>
      </c>
      <c r="K7" s="46" t="s">
        <v>595</v>
      </c>
      <c r="L7" s="47" t="s">
        <v>584</v>
      </c>
    </row>
    <row r="8" spans="1:12" ht="15.75" customHeight="1">
      <c r="A8" s="45">
        <v>340712</v>
      </c>
      <c r="B8" s="46" t="s">
        <v>499</v>
      </c>
      <c r="C8" s="46" t="s">
        <v>500</v>
      </c>
      <c r="D8" s="46" t="s">
        <v>466</v>
      </c>
      <c r="E8" s="46" t="s">
        <v>501</v>
      </c>
      <c r="F8" s="46" t="s">
        <v>501</v>
      </c>
      <c r="G8" s="46" t="s">
        <v>531</v>
      </c>
      <c r="H8" s="46" t="s">
        <v>503</v>
      </c>
      <c r="I8" s="46" t="s">
        <v>467</v>
      </c>
      <c r="J8" s="46" t="s">
        <v>596</v>
      </c>
      <c r="K8" s="46" t="s">
        <v>597</v>
      </c>
      <c r="L8" s="47" t="s">
        <v>584</v>
      </c>
    </row>
    <row r="9" spans="1:12" ht="15.75" customHeight="1">
      <c r="A9" s="45">
        <v>31666</v>
      </c>
      <c r="B9" s="46" t="s">
        <v>499</v>
      </c>
      <c r="C9" s="46" t="s">
        <v>500</v>
      </c>
      <c r="D9" s="46" t="s">
        <v>167</v>
      </c>
      <c r="E9" s="46" t="s">
        <v>289</v>
      </c>
      <c r="F9" s="46" t="s">
        <v>501</v>
      </c>
      <c r="G9" s="46" t="s">
        <v>533</v>
      </c>
      <c r="H9" s="46" t="s">
        <v>506</v>
      </c>
      <c r="I9" s="46" t="s">
        <v>474</v>
      </c>
      <c r="J9" s="46" t="s">
        <v>598</v>
      </c>
      <c r="K9" s="46" t="s">
        <v>598</v>
      </c>
      <c r="L9" s="47" t="s">
        <v>584</v>
      </c>
    </row>
    <row r="10" spans="1:12" ht="15.75" customHeight="1">
      <c r="A10" s="45">
        <v>25714</v>
      </c>
      <c r="B10" s="46" t="s">
        <v>509</v>
      </c>
      <c r="C10" s="46" t="s">
        <v>500</v>
      </c>
      <c r="D10" s="46" t="s">
        <v>167</v>
      </c>
      <c r="E10" s="46" t="s">
        <v>289</v>
      </c>
      <c r="F10" s="46" t="s">
        <v>501</v>
      </c>
      <c r="G10" s="46" t="s">
        <v>510</v>
      </c>
      <c r="H10" s="46" t="s">
        <v>511</v>
      </c>
      <c r="I10" s="46" t="s">
        <v>599</v>
      </c>
      <c r="J10" s="46" t="s">
        <v>600</v>
      </c>
      <c r="K10" s="46" t="s">
        <v>600</v>
      </c>
      <c r="L10" s="5" t="s">
        <v>601</v>
      </c>
    </row>
    <row r="11" spans="1:12" ht="15.75" customHeight="1">
      <c r="A11" s="45">
        <v>11247</v>
      </c>
      <c r="B11" s="46" t="s">
        <v>509</v>
      </c>
      <c r="C11" s="46" t="s">
        <v>500</v>
      </c>
      <c r="D11" s="46" t="s">
        <v>167</v>
      </c>
      <c r="E11" s="46" t="s">
        <v>366</v>
      </c>
      <c r="F11" s="46" t="s">
        <v>501</v>
      </c>
      <c r="G11" s="46" t="s">
        <v>510</v>
      </c>
      <c r="H11" s="46" t="s">
        <v>511</v>
      </c>
      <c r="I11" s="46" t="s">
        <v>602</v>
      </c>
      <c r="J11" s="46" t="s">
        <v>603</v>
      </c>
      <c r="K11" s="46" t="s">
        <v>604</v>
      </c>
      <c r="L11" s="47" t="s">
        <v>605</v>
      </c>
    </row>
    <row r="12" spans="1:12" ht="15.75" customHeight="1">
      <c r="A12" s="45">
        <v>11247</v>
      </c>
      <c r="B12" s="46" t="s">
        <v>509</v>
      </c>
      <c r="C12" s="46" t="s">
        <v>500</v>
      </c>
      <c r="D12" s="46" t="s">
        <v>167</v>
      </c>
      <c r="E12" s="46" t="s">
        <v>366</v>
      </c>
      <c r="F12" s="46" t="s">
        <v>501</v>
      </c>
      <c r="G12" s="46" t="s">
        <v>510</v>
      </c>
      <c r="H12" s="46" t="s">
        <v>511</v>
      </c>
      <c r="I12" s="46" t="s">
        <v>606</v>
      </c>
      <c r="J12" s="46" t="s">
        <v>603</v>
      </c>
      <c r="K12" s="46" t="s">
        <v>604</v>
      </c>
      <c r="L12" s="47" t="s">
        <v>605</v>
      </c>
    </row>
    <row r="13" spans="1:12" ht="15.75" customHeight="1">
      <c r="A13" s="45">
        <v>11247</v>
      </c>
      <c r="B13" s="46" t="s">
        <v>509</v>
      </c>
      <c r="C13" s="46" t="s">
        <v>500</v>
      </c>
      <c r="D13" s="46" t="s">
        <v>167</v>
      </c>
      <c r="E13" s="46" t="s">
        <v>366</v>
      </c>
      <c r="F13" s="46" t="s">
        <v>501</v>
      </c>
      <c r="G13" s="46" t="s">
        <v>510</v>
      </c>
      <c r="H13" s="46" t="s">
        <v>511</v>
      </c>
      <c r="I13" s="46" t="s">
        <v>607</v>
      </c>
      <c r="J13" s="46" t="s">
        <v>603</v>
      </c>
      <c r="K13" s="46" t="s">
        <v>604</v>
      </c>
      <c r="L13" s="47" t="s">
        <v>605</v>
      </c>
    </row>
    <row r="14" spans="1:12" ht="15.75" customHeight="1">
      <c r="A14" s="45">
        <v>403583</v>
      </c>
      <c r="B14" s="46" t="s">
        <v>509</v>
      </c>
      <c r="C14" s="46" t="s">
        <v>500</v>
      </c>
      <c r="D14" s="46" t="s">
        <v>167</v>
      </c>
      <c r="E14" s="46" t="s">
        <v>366</v>
      </c>
      <c r="F14" s="46" t="s">
        <v>501</v>
      </c>
      <c r="G14" s="46" t="s">
        <v>510</v>
      </c>
      <c r="H14" s="46" t="s">
        <v>511</v>
      </c>
      <c r="I14" s="46" t="s">
        <v>608</v>
      </c>
      <c r="J14" s="46" t="s">
        <v>603</v>
      </c>
      <c r="K14" s="46" t="s">
        <v>604</v>
      </c>
      <c r="L14" s="47" t="s">
        <v>605</v>
      </c>
    </row>
    <row r="15" spans="1:12" ht="15.75" customHeight="1">
      <c r="A15" s="45">
        <v>403583</v>
      </c>
      <c r="B15" s="46" t="s">
        <v>509</v>
      </c>
      <c r="C15" s="46" t="s">
        <v>500</v>
      </c>
      <c r="D15" s="46" t="s">
        <v>167</v>
      </c>
      <c r="E15" s="46" t="s">
        <v>366</v>
      </c>
      <c r="F15" s="46" t="s">
        <v>501</v>
      </c>
      <c r="G15" s="46" t="s">
        <v>510</v>
      </c>
      <c r="H15" s="46" t="s">
        <v>511</v>
      </c>
      <c r="I15" s="46" t="s">
        <v>609</v>
      </c>
      <c r="J15" s="46" t="s">
        <v>603</v>
      </c>
      <c r="K15" s="46" t="s">
        <v>604</v>
      </c>
      <c r="L15" s="47" t="s">
        <v>605</v>
      </c>
    </row>
    <row r="16" spans="1:12" ht="15.75" customHeight="1">
      <c r="A16" s="45">
        <v>403583</v>
      </c>
      <c r="B16" s="46" t="s">
        <v>509</v>
      </c>
      <c r="C16" s="46" t="s">
        <v>500</v>
      </c>
      <c r="D16" s="46" t="s">
        <v>167</v>
      </c>
      <c r="E16" s="46" t="s">
        <v>366</v>
      </c>
      <c r="F16" s="46" t="s">
        <v>501</v>
      </c>
      <c r="G16" s="46" t="s">
        <v>510</v>
      </c>
      <c r="H16" s="46" t="s">
        <v>511</v>
      </c>
      <c r="I16" s="46" t="s">
        <v>610</v>
      </c>
      <c r="J16" s="46" t="s">
        <v>603</v>
      </c>
      <c r="K16" s="46" t="s">
        <v>604</v>
      </c>
      <c r="L16" s="47" t="s">
        <v>605</v>
      </c>
    </row>
    <row r="17" spans="1:13" ht="15.75" customHeight="1">
      <c r="A17" s="45">
        <v>41750</v>
      </c>
      <c r="B17" s="46" t="s">
        <v>525</v>
      </c>
      <c r="C17" s="46" t="s">
        <v>514</v>
      </c>
      <c r="D17" s="46" t="s">
        <v>501</v>
      </c>
      <c r="E17" s="46" t="s">
        <v>501</v>
      </c>
      <c r="F17" s="46" t="s">
        <v>501</v>
      </c>
      <c r="G17" s="46" t="s">
        <v>510</v>
      </c>
      <c r="H17" s="46" t="s">
        <v>511</v>
      </c>
      <c r="I17" s="46" t="s">
        <v>611</v>
      </c>
      <c r="J17" s="46" t="s">
        <v>612</v>
      </c>
      <c r="K17" s="46" t="s">
        <v>613</v>
      </c>
      <c r="L17" s="5" t="s">
        <v>614</v>
      </c>
    </row>
    <row r="18" spans="1:13" ht="15.75" customHeight="1">
      <c r="A18" s="45">
        <v>14189</v>
      </c>
      <c r="B18" s="46" t="s">
        <v>525</v>
      </c>
      <c r="C18" s="46" t="s">
        <v>514</v>
      </c>
      <c r="D18" s="46" t="s">
        <v>167</v>
      </c>
      <c r="E18" s="46" t="s">
        <v>501</v>
      </c>
      <c r="F18" s="46" t="s">
        <v>501</v>
      </c>
      <c r="G18" s="46" t="s">
        <v>519</v>
      </c>
      <c r="H18" s="46" t="s">
        <v>520</v>
      </c>
      <c r="I18" s="46" t="s">
        <v>456</v>
      </c>
      <c r="J18" s="46" t="s">
        <v>615</v>
      </c>
      <c r="K18" s="46" t="s">
        <v>616</v>
      </c>
      <c r="L18" s="5" t="s">
        <v>617</v>
      </c>
    </row>
    <row r="19" spans="1:13" ht="15.75" customHeight="1">
      <c r="A19" s="45">
        <v>396625</v>
      </c>
      <c r="B19" s="46" t="s">
        <v>509</v>
      </c>
      <c r="C19" s="46" t="s">
        <v>500</v>
      </c>
      <c r="D19" s="46" t="s">
        <v>501</v>
      </c>
      <c r="E19" s="46" t="s">
        <v>501</v>
      </c>
      <c r="F19" s="46" t="s">
        <v>501</v>
      </c>
      <c r="G19" s="46" t="s">
        <v>510</v>
      </c>
      <c r="H19" s="46" t="s">
        <v>511</v>
      </c>
      <c r="I19" s="46" t="s">
        <v>618</v>
      </c>
      <c r="J19" s="46" t="s">
        <v>619</v>
      </c>
      <c r="K19" s="46" t="s">
        <v>620</v>
      </c>
      <c r="L19" s="47" t="s">
        <v>605</v>
      </c>
    </row>
    <row r="20" spans="1:13" ht="15.75" customHeight="1">
      <c r="A20" s="45">
        <v>396625</v>
      </c>
      <c r="B20" s="46" t="s">
        <v>509</v>
      </c>
      <c r="C20" s="46" t="s">
        <v>500</v>
      </c>
      <c r="D20" s="46" t="s">
        <v>501</v>
      </c>
      <c r="E20" s="46" t="s">
        <v>501</v>
      </c>
      <c r="F20" s="46" t="s">
        <v>501</v>
      </c>
      <c r="G20" s="46" t="s">
        <v>510</v>
      </c>
      <c r="H20" s="46" t="s">
        <v>511</v>
      </c>
      <c r="I20" s="46" t="s">
        <v>621</v>
      </c>
      <c r="J20" s="46" t="s">
        <v>619</v>
      </c>
      <c r="K20" s="46" t="s">
        <v>620</v>
      </c>
      <c r="L20" s="47" t="s">
        <v>605</v>
      </c>
    </row>
    <row r="21" spans="1:13" ht="15.75" customHeight="1">
      <c r="A21" s="45">
        <v>396625</v>
      </c>
      <c r="B21" s="46" t="s">
        <v>509</v>
      </c>
      <c r="C21" s="46" t="s">
        <v>500</v>
      </c>
      <c r="D21" s="46" t="s">
        <v>501</v>
      </c>
      <c r="E21" s="46" t="s">
        <v>501</v>
      </c>
      <c r="F21" s="46" t="s">
        <v>501</v>
      </c>
      <c r="G21" s="46" t="s">
        <v>510</v>
      </c>
      <c r="H21" s="46" t="s">
        <v>511</v>
      </c>
      <c r="I21" s="46" t="s">
        <v>622</v>
      </c>
      <c r="J21" s="46" t="s">
        <v>619</v>
      </c>
      <c r="K21" s="46" t="s">
        <v>620</v>
      </c>
      <c r="L21" s="47" t="s">
        <v>605</v>
      </c>
    </row>
    <row r="22" spans="1:13" ht="14.5">
      <c r="A22" s="45">
        <v>396625</v>
      </c>
      <c r="B22" s="46" t="s">
        <v>509</v>
      </c>
      <c r="C22" s="46" t="s">
        <v>500</v>
      </c>
      <c r="D22" s="46" t="s">
        <v>501</v>
      </c>
      <c r="E22" s="46" t="s">
        <v>501</v>
      </c>
      <c r="F22" s="46" t="s">
        <v>501</v>
      </c>
      <c r="G22" s="46" t="s">
        <v>510</v>
      </c>
      <c r="H22" s="46" t="s">
        <v>511</v>
      </c>
      <c r="I22" s="46" t="s">
        <v>623</v>
      </c>
      <c r="J22" s="46" t="s">
        <v>619</v>
      </c>
      <c r="K22" s="46" t="s">
        <v>620</v>
      </c>
      <c r="L22" s="47" t="s">
        <v>605</v>
      </c>
    </row>
    <row r="23" spans="1:13" ht="14.5">
      <c r="A23" s="45">
        <v>31614</v>
      </c>
      <c r="B23" s="46" t="s">
        <v>507</v>
      </c>
      <c r="C23" s="46" t="s">
        <v>500</v>
      </c>
      <c r="D23" s="46" t="s">
        <v>167</v>
      </c>
      <c r="E23" s="46" t="s">
        <v>169</v>
      </c>
      <c r="F23" s="46" t="s">
        <v>501</v>
      </c>
      <c r="G23" s="46" t="s">
        <v>508</v>
      </c>
      <c r="H23" s="46" t="s">
        <v>506</v>
      </c>
      <c r="I23" s="46" t="s">
        <v>624</v>
      </c>
      <c r="J23" s="46" t="s">
        <v>625</v>
      </c>
      <c r="K23" s="46" t="s">
        <v>625</v>
      </c>
      <c r="L23" s="5" t="s">
        <v>626</v>
      </c>
      <c r="M23" s="48"/>
    </row>
    <row r="24" spans="1:13" ht="14.5">
      <c r="A24" s="45">
        <v>26673</v>
      </c>
      <c r="B24" s="46" t="s">
        <v>518</v>
      </c>
      <c r="C24" s="46" t="s">
        <v>514</v>
      </c>
      <c r="D24" s="46" t="s">
        <v>167</v>
      </c>
      <c r="E24" s="46" t="s">
        <v>501</v>
      </c>
      <c r="F24" s="46" t="s">
        <v>522</v>
      </c>
      <c r="G24" s="46" t="s">
        <v>519</v>
      </c>
      <c r="H24" s="46" t="s">
        <v>520</v>
      </c>
      <c r="I24" s="46" t="s">
        <v>627</v>
      </c>
      <c r="J24" s="46" t="s">
        <v>628</v>
      </c>
      <c r="K24" s="46" t="s">
        <v>613</v>
      </c>
      <c r="L24" s="5" t="s">
        <v>614</v>
      </c>
      <c r="M24" s="48"/>
    </row>
    <row r="25" spans="1:13" ht="14.5">
      <c r="A25" s="45">
        <v>22001</v>
      </c>
      <c r="B25" s="46" t="s">
        <v>518</v>
      </c>
      <c r="C25" s="46" t="s">
        <v>514</v>
      </c>
      <c r="D25" s="46" t="s">
        <v>501</v>
      </c>
      <c r="E25" s="46" t="s">
        <v>501</v>
      </c>
      <c r="F25" s="46" t="s">
        <v>501</v>
      </c>
      <c r="G25" s="46" t="s">
        <v>531</v>
      </c>
      <c r="H25" s="46" t="s">
        <v>503</v>
      </c>
      <c r="I25" s="46" t="s">
        <v>629</v>
      </c>
      <c r="J25" s="46" t="s">
        <v>630</v>
      </c>
      <c r="K25" s="46" t="s">
        <v>631</v>
      </c>
      <c r="L25" s="47" t="s">
        <v>605</v>
      </c>
      <c r="M25" s="48"/>
    </row>
    <row r="26" spans="1:13" ht="14.5">
      <c r="A26" s="45">
        <v>232488</v>
      </c>
      <c r="B26" s="46" t="s">
        <v>525</v>
      </c>
      <c r="C26" s="46" t="s">
        <v>514</v>
      </c>
      <c r="D26" s="46" t="s">
        <v>167</v>
      </c>
      <c r="E26" s="46" t="s">
        <v>169</v>
      </c>
      <c r="F26" s="46" t="s">
        <v>501</v>
      </c>
      <c r="G26" s="46" t="s">
        <v>539</v>
      </c>
      <c r="H26" s="46" t="s">
        <v>506</v>
      </c>
      <c r="I26" s="46" t="s">
        <v>632</v>
      </c>
      <c r="J26" s="46" t="s">
        <v>633</v>
      </c>
      <c r="K26" s="46" t="s">
        <v>634</v>
      </c>
      <c r="L26" s="5" t="s">
        <v>617</v>
      </c>
      <c r="M26" s="48"/>
    </row>
    <row r="27" spans="1:13" ht="14.5">
      <c r="A27" s="45">
        <v>22001</v>
      </c>
      <c r="B27" s="46" t="s">
        <v>518</v>
      </c>
      <c r="C27" s="46" t="s">
        <v>514</v>
      </c>
      <c r="D27" s="46" t="s">
        <v>501</v>
      </c>
      <c r="E27" s="46" t="s">
        <v>501</v>
      </c>
      <c r="F27" s="46" t="s">
        <v>501</v>
      </c>
      <c r="G27" s="46" t="s">
        <v>531</v>
      </c>
      <c r="H27" s="46" t="s">
        <v>503</v>
      </c>
      <c r="I27" s="46" t="s">
        <v>635</v>
      </c>
      <c r="J27" s="46" t="s">
        <v>636</v>
      </c>
      <c r="K27" s="46" t="s">
        <v>637</v>
      </c>
      <c r="L27" s="5" t="s">
        <v>593</v>
      </c>
      <c r="M27" s="48"/>
    </row>
    <row r="28" spans="1:13" ht="14.5">
      <c r="A28" s="45">
        <v>31666</v>
      </c>
      <c r="B28" s="46" t="s">
        <v>499</v>
      </c>
      <c r="C28" s="46" t="s">
        <v>500</v>
      </c>
      <c r="D28" s="46" t="s">
        <v>167</v>
      </c>
      <c r="E28" s="46" t="s">
        <v>289</v>
      </c>
      <c r="F28" s="46" t="s">
        <v>501</v>
      </c>
      <c r="G28" s="46" t="s">
        <v>533</v>
      </c>
      <c r="H28" s="46" t="s">
        <v>506</v>
      </c>
      <c r="I28" s="46" t="s">
        <v>638</v>
      </c>
      <c r="J28" s="46" t="s">
        <v>639</v>
      </c>
      <c r="K28" s="46" t="s">
        <v>640</v>
      </c>
      <c r="L28" s="5" t="s">
        <v>641</v>
      </c>
      <c r="M28" s="48"/>
    </row>
    <row r="29" spans="1:13" ht="14.5">
      <c r="A29" s="45">
        <v>31666</v>
      </c>
      <c r="B29" s="46" t="s">
        <v>499</v>
      </c>
      <c r="C29" s="46" t="s">
        <v>500</v>
      </c>
      <c r="D29" s="46" t="s">
        <v>167</v>
      </c>
      <c r="E29" s="46" t="s">
        <v>289</v>
      </c>
      <c r="F29" s="46" t="s">
        <v>501</v>
      </c>
      <c r="G29" s="46" t="s">
        <v>533</v>
      </c>
      <c r="H29" s="46" t="s">
        <v>506</v>
      </c>
      <c r="I29" s="46" t="s">
        <v>642</v>
      </c>
      <c r="J29" s="46" t="s">
        <v>643</v>
      </c>
      <c r="K29" s="46" t="s">
        <v>640</v>
      </c>
      <c r="L29" s="5" t="s">
        <v>641</v>
      </c>
      <c r="M29" s="48"/>
    </row>
    <row r="30" spans="1:13" ht="14.5">
      <c r="A30" s="45">
        <v>31614</v>
      </c>
      <c r="B30" s="46" t="s">
        <v>507</v>
      </c>
      <c r="C30" s="46" t="s">
        <v>500</v>
      </c>
      <c r="D30" s="46" t="s">
        <v>167</v>
      </c>
      <c r="E30" s="46" t="s">
        <v>169</v>
      </c>
      <c r="F30" s="46" t="s">
        <v>501</v>
      </c>
      <c r="G30" s="46" t="s">
        <v>508</v>
      </c>
      <c r="H30" s="46" t="s">
        <v>506</v>
      </c>
      <c r="I30" s="46" t="s">
        <v>644</v>
      </c>
      <c r="J30" s="46" t="s">
        <v>645</v>
      </c>
      <c r="K30" s="46" t="s">
        <v>587</v>
      </c>
      <c r="L30" s="47" t="s">
        <v>584</v>
      </c>
    </row>
    <row r="31" spans="1:13" ht="14.5">
      <c r="A31" s="45">
        <v>354302</v>
      </c>
      <c r="B31" s="46" t="s">
        <v>499</v>
      </c>
      <c r="C31" s="46" t="s">
        <v>500</v>
      </c>
      <c r="D31" s="46" t="s">
        <v>501</v>
      </c>
      <c r="E31" s="46" t="s">
        <v>501</v>
      </c>
      <c r="F31" s="46" t="s">
        <v>501</v>
      </c>
      <c r="G31" s="46" t="s">
        <v>530</v>
      </c>
      <c r="H31" s="46" t="s">
        <v>524</v>
      </c>
      <c r="I31" s="46" t="s">
        <v>646</v>
      </c>
      <c r="J31" s="46" t="s">
        <v>647</v>
      </c>
      <c r="K31" s="46" t="s">
        <v>587</v>
      </c>
      <c r="L31" s="47" t="s">
        <v>584</v>
      </c>
    </row>
    <row r="32" spans="1:13" ht="14.5">
      <c r="A32" s="45">
        <v>25714</v>
      </c>
      <c r="B32" s="46" t="s">
        <v>509</v>
      </c>
      <c r="C32" s="46" t="s">
        <v>500</v>
      </c>
      <c r="D32" s="46" t="s">
        <v>167</v>
      </c>
      <c r="E32" s="46" t="s">
        <v>289</v>
      </c>
      <c r="F32" s="46" t="s">
        <v>501</v>
      </c>
      <c r="G32" s="46" t="s">
        <v>510</v>
      </c>
      <c r="H32" s="46" t="s">
        <v>511</v>
      </c>
      <c r="I32" s="46" t="s">
        <v>648</v>
      </c>
      <c r="J32" s="46" t="s">
        <v>649</v>
      </c>
      <c r="K32" s="46" t="s">
        <v>649</v>
      </c>
      <c r="L32" s="5" t="s">
        <v>641</v>
      </c>
    </row>
    <row r="33" spans="1:13" ht="14.5">
      <c r="A33" s="45">
        <v>25714</v>
      </c>
      <c r="B33" s="46" t="s">
        <v>509</v>
      </c>
      <c r="C33" s="46" t="s">
        <v>500</v>
      </c>
      <c r="D33" s="46" t="s">
        <v>167</v>
      </c>
      <c r="E33" s="46" t="s">
        <v>289</v>
      </c>
      <c r="F33" s="46" t="s">
        <v>501</v>
      </c>
      <c r="G33" s="46" t="s">
        <v>510</v>
      </c>
      <c r="H33" s="46" t="s">
        <v>511</v>
      </c>
      <c r="I33" s="46" t="s">
        <v>650</v>
      </c>
      <c r="J33" s="46" t="s">
        <v>651</v>
      </c>
      <c r="K33" s="46" t="s">
        <v>652</v>
      </c>
      <c r="L33" s="5" t="s">
        <v>617</v>
      </c>
    </row>
    <row r="34" spans="1:13" ht="14.5">
      <c r="A34" s="45">
        <v>232488</v>
      </c>
      <c r="B34" s="46" t="s">
        <v>525</v>
      </c>
      <c r="C34" s="46" t="s">
        <v>514</v>
      </c>
      <c r="D34" s="46" t="s">
        <v>167</v>
      </c>
      <c r="E34" s="46" t="s">
        <v>169</v>
      </c>
      <c r="F34" s="46" t="s">
        <v>501</v>
      </c>
      <c r="G34" s="46" t="s">
        <v>539</v>
      </c>
      <c r="H34" s="46" t="s">
        <v>506</v>
      </c>
      <c r="I34" s="46" t="s">
        <v>653</v>
      </c>
      <c r="J34" s="46" t="s">
        <v>654</v>
      </c>
      <c r="K34" s="46" t="s">
        <v>655</v>
      </c>
      <c r="L34" s="5" t="s">
        <v>601</v>
      </c>
    </row>
    <row r="35" spans="1:13" ht="14.5">
      <c r="A35" s="45">
        <v>354302</v>
      </c>
      <c r="B35" s="46" t="s">
        <v>499</v>
      </c>
      <c r="C35" s="46" t="s">
        <v>500</v>
      </c>
      <c r="D35" s="46" t="s">
        <v>501</v>
      </c>
      <c r="E35" s="46" t="s">
        <v>501</v>
      </c>
      <c r="F35" s="46" t="s">
        <v>501</v>
      </c>
      <c r="G35" s="46" t="s">
        <v>530</v>
      </c>
      <c r="H35" s="46" t="s">
        <v>524</v>
      </c>
      <c r="I35" s="46" t="s">
        <v>656</v>
      </c>
      <c r="J35" s="46" t="s">
        <v>657</v>
      </c>
      <c r="K35" s="46" t="s">
        <v>587</v>
      </c>
      <c r="L35" s="47" t="s">
        <v>584</v>
      </c>
    </row>
    <row r="36" spans="1:13" ht="14.5">
      <c r="A36" s="45">
        <v>232488</v>
      </c>
      <c r="B36" s="46" t="s">
        <v>525</v>
      </c>
      <c r="C36" s="46" t="s">
        <v>514</v>
      </c>
      <c r="D36" s="46" t="s">
        <v>167</v>
      </c>
      <c r="E36" s="46" t="s">
        <v>169</v>
      </c>
      <c r="F36" s="46" t="s">
        <v>501</v>
      </c>
      <c r="G36" s="46" t="s">
        <v>539</v>
      </c>
      <c r="H36" s="46" t="s">
        <v>506</v>
      </c>
      <c r="I36" s="46" t="s">
        <v>658</v>
      </c>
      <c r="J36" s="46" t="s">
        <v>657</v>
      </c>
      <c r="K36" s="46" t="s">
        <v>587</v>
      </c>
      <c r="L36" s="47" t="s">
        <v>584</v>
      </c>
    </row>
    <row r="37" spans="1:13" ht="14.5">
      <c r="A37" s="45">
        <v>127213</v>
      </c>
      <c r="B37" s="46" t="s">
        <v>526</v>
      </c>
      <c r="C37" s="46" t="s">
        <v>514</v>
      </c>
      <c r="D37" s="46" t="s">
        <v>501</v>
      </c>
      <c r="E37" s="46" t="s">
        <v>501</v>
      </c>
      <c r="F37" s="46" t="s">
        <v>527</v>
      </c>
      <c r="G37" s="46" t="s">
        <v>528</v>
      </c>
      <c r="H37" s="46" t="s">
        <v>520</v>
      </c>
      <c r="I37" s="46" t="s">
        <v>659</v>
      </c>
      <c r="J37" s="46" t="s">
        <v>660</v>
      </c>
      <c r="K37" s="46" t="s">
        <v>661</v>
      </c>
      <c r="L37" s="5" t="s">
        <v>641</v>
      </c>
    </row>
    <row r="38" spans="1:13" ht="14.5">
      <c r="A38" s="45">
        <v>127213</v>
      </c>
      <c r="B38" s="46" t="s">
        <v>526</v>
      </c>
      <c r="C38" s="46" t="s">
        <v>514</v>
      </c>
      <c r="D38" s="46" t="s">
        <v>501</v>
      </c>
      <c r="E38" s="46" t="s">
        <v>501</v>
      </c>
      <c r="F38" s="46" t="s">
        <v>527</v>
      </c>
      <c r="G38" s="46" t="s">
        <v>528</v>
      </c>
      <c r="H38" s="46" t="s">
        <v>520</v>
      </c>
      <c r="I38" s="46" t="s">
        <v>662</v>
      </c>
      <c r="J38" s="46" t="s">
        <v>663</v>
      </c>
      <c r="K38" s="46" t="s">
        <v>661</v>
      </c>
      <c r="L38" s="5" t="s">
        <v>641</v>
      </c>
    </row>
    <row r="39" spans="1:13" ht="14.5">
      <c r="A39" s="45">
        <v>127213</v>
      </c>
      <c r="B39" s="46" t="s">
        <v>526</v>
      </c>
      <c r="C39" s="46" t="s">
        <v>514</v>
      </c>
      <c r="D39" s="46" t="s">
        <v>501</v>
      </c>
      <c r="E39" s="46" t="s">
        <v>501</v>
      </c>
      <c r="F39" s="46" t="s">
        <v>527</v>
      </c>
      <c r="G39" s="46" t="s">
        <v>528</v>
      </c>
      <c r="H39" s="46" t="s">
        <v>520</v>
      </c>
      <c r="I39" s="46" t="s">
        <v>664</v>
      </c>
      <c r="J39" s="46" t="s">
        <v>663</v>
      </c>
      <c r="K39" s="46" t="s">
        <v>661</v>
      </c>
      <c r="L39" s="5" t="s">
        <v>641</v>
      </c>
      <c r="M39" s="48"/>
    </row>
    <row r="40" spans="1:13" ht="14.5">
      <c r="A40" s="45">
        <v>231273</v>
      </c>
      <c r="B40" s="46" t="s">
        <v>513</v>
      </c>
      <c r="C40" s="46" t="s">
        <v>514</v>
      </c>
      <c r="D40" s="46" t="s">
        <v>501</v>
      </c>
      <c r="E40" s="46" t="s">
        <v>521</v>
      </c>
      <c r="F40" s="46" t="s">
        <v>522</v>
      </c>
      <c r="G40" s="46" t="s">
        <v>523</v>
      </c>
      <c r="H40" s="46" t="s">
        <v>524</v>
      </c>
      <c r="I40" s="46" t="s">
        <v>665</v>
      </c>
      <c r="J40" s="46" t="s">
        <v>666</v>
      </c>
      <c r="K40" s="46" t="s">
        <v>667</v>
      </c>
      <c r="L40" s="5" t="s">
        <v>668</v>
      </c>
    </row>
    <row r="41" spans="1:13" ht="14.5">
      <c r="A41" s="45">
        <v>7953</v>
      </c>
      <c r="B41" s="46" t="s">
        <v>499</v>
      </c>
      <c r="C41" s="46" t="s">
        <v>500</v>
      </c>
      <c r="D41" s="46" t="s">
        <v>167</v>
      </c>
      <c r="E41" s="46" t="s">
        <v>169</v>
      </c>
      <c r="F41" s="46" t="s">
        <v>501</v>
      </c>
      <c r="G41" s="46" t="s">
        <v>530</v>
      </c>
      <c r="H41" s="46" t="s">
        <v>524</v>
      </c>
      <c r="I41" s="46" t="s">
        <v>669</v>
      </c>
      <c r="J41" s="46" t="s">
        <v>670</v>
      </c>
      <c r="K41" s="46" t="s">
        <v>671</v>
      </c>
      <c r="L41" s="5" t="s">
        <v>626</v>
      </c>
    </row>
    <row r="42" spans="1:13" ht="14.5">
      <c r="A42" s="45">
        <v>240325</v>
      </c>
      <c r="B42" s="46" t="s">
        <v>513</v>
      </c>
      <c r="C42" s="46" t="s">
        <v>514</v>
      </c>
      <c r="D42" s="46" t="s">
        <v>167</v>
      </c>
      <c r="E42" s="46" t="s">
        <v>289</v>
      </c>
      <c r="F42" s="46" t="s">
        <v>501</v>
      </c>
      <c r="G42" s="46" t="s">
        <v>515</v>
      </c>
      <c r="H42" s="46" t="s">
        <v>516</v>
      </c>
      <c r="I42" s="46" t="s">
        <v>672</v>
      </c>
      <c r="J42" s="46" t="s">
        <v>673</v>
      </c>
      <c r="K42" s="46" t="s">
        <v>671</v>
      </c>
      <c r="L42" s="5" t="s">
        <v>626</v>
      </c>
    </row>
    <row r="43" spans="1:13" ht="14.5">
      <c r="A43" s="45">
        <v>41750</v>
      </c>
      <c r="B43" s="46" t="s">
        <v>525</v>
      </c>
      <c r="C43" s="46" t="s">
        <v>514</v>
      </c>
      <c r="D43" s="46" t="s">
        <v>501</v>
      </c>
      <c r="E43" s="46" t="s">
        <v>501</v>
      </c>
      <c r="F43" s="46" t="s">
        <v>501</v>
      </c>
      <c r="G43" s="46" t="s">
        <v>510</v>
      </c>
      <c r="H43" s="46" t="s">
        <v>511</v>
      </c>
      <c r="I43" s="46" t="s">
        <v>674</v>
      </c>
      <c r="J43" s="46" t="s">
        <v>675</v>
      </c>
      <c r="K43" s="46" t="s">
        <v>675</v>
      </c>
      <c r="L43" s="47" t="s">
        <v>605</v>
      </c>
    </row>
    <row r="44" spans="1:13" ht="14.5">
      <c r="A44" s="45">
        <v>34041</v>
      </c>
      <c r="B44" s="46" t="s">
        <v>537</v>
      </c>
      <c r="C44" s="46" t="s">
        <v>514</v>
      </c>
      <c r="D44" s="46" t="s">
        <v>501</v>
      </c>
      <c r="E44" s="46" t="s">
        <v>501</v>
      </c>
      <c r="F44" s="46" t="s">
        <v>501</v>
      </c>
      <c r="G44" s="46" t="s">
        <v>502</v>
      </c>
      <c r="H44" s="46" t="s">
        <v>503</v>
      </c>
      <c r="I44" s="46" t="s">
        <v>676</v>
      </c>
      <c r="J44" s="49" t="s">
        <v>677</v>
      </c>
      <c r="K44" s="46" t="s">
        <v>678</v>
      </c>
      <c r="L44" s="5" t="s">
        <v>641</v>
      </c>
    </row>
    <row r="45" spans="1:13" ht="14.5">
      <c r="A45" s="45">
        <v>31614</v>
      </c>
      <c r="B45" s="46" t="s">
        <v>507</v>
      </c>
      <c r="C45" s="46" t="s">
        <v>500</v>
      </c>
      <c r="D45" s="46" t="s">
        <v>167</v>
      </c>
      <c r="E45" s="46" t="s">
        <v>169</v>
      </c>
      <c r="F45" s="46" t="s">
        <v>501</v>
      </c>
      <c r="G45" s="46" t="s">
        <v>508</v>
      </c>
      <c r="H45" s="46" t="s">
        <v>506</v>
      </c>
      <c r="I45" s="46" t="s">
        <v>679</v>
      </c>
      <c r="J45" s="46" t="s">
        <v>680</v>
      </c>
      <c r="K45" s="46" t="s">
        <v>583</v>
      </c>
      <c r="L45" s="47" t="s">
        <v>584</v>
      </c>
    </row>
    <row r="46" spans="1:13" ht="14.5">
      <c r="A46" s="45">
        <v>232488</v>
      </c>
      <c r="B46" s="46" t="s">
        <v>525</v>
      </c>
      <c r="C46" s="46" t="s">
        <v>514</v>
      </c>
      <c r="D46" s="46" t="s">
        <v>167</v>
      </c>
      <c r="E46" s="46" t="s">
        <v>169</v>
      </c>
      <c r="F46" s="46" t="s">
        <v>501</v>
      </c>
      <c r="G46" s="46" t="s">
        <v>539</v>
      </c>
      <c r="H46" s="46" t="s">
        <v>506</v>
      </c>
      <c r="I46" s="46" t="s">
        <v>681</v>
      </c>
      <c r="J46" s="46" t="s">
        <v>682</v>
      </c>
      <c r="K46" s="46" t="s">
        <v>587</v>
      </c>
      <c r="L46" s="47" t="s">
        <v>584</v>
      </c>
    </row>
    <row r="47" spans="1:13" ht="14.5">
      <c r="A47" s="45">
        <v>26673</v>
      </c>
      <c r="B47" s="46" t="s">
        <v>518</v>
      </c>
      <c r="C47" s="46" t="s">
        <v>514</v>
      </c>
      <c r="D47" s="46" t="s">
        <v>167</v>
      </c>
      <c r="E47" s="46" t="s">
        <v>501</v>
      </c>
      <c r="F47" s="46" t="s">
        <v>522</v>
      </c>
      <c r="G47" s="46" t="s">
        <v>519</v>
      </c>
      <c r="H47" s="46" t="s">
        <v>520</v>
      </c>
      <c r="I47" s="46" t="s">
        <v>683</v>
      </c>
      <c r="J47" s="46" t="s">
        <v>684</v>
      </c>
      <c r="K47" s="46" t="s">
        <v>685</v>
      </c>
      <c r="L47" s="5" t="s">
        <v>617</v>
      </c>
    </row>
    <row r="48" spans="1:13" ht="14.5">
      <c r="A48" s="45">
        <v>22001</v>
      </c>
      <c r="B48" s="46" t="s">
        <v>518</v>
      </c>
      <c r="C48" s="46" t="s">
        <v>514</v>
      </c>
      <c r="D48" s="46" t="s">
        <v>501</v>
      </c>
      <c r="E48" s="46" t="s">
        <v>501</v>
      </c>
      <c r="F48" s="46" t="s">
        <v>501</v>
      </c>
      <c r="G48" s="46" t="s">
        <v>531</v>
      </c>
      <c r="H48" s="46" t="s">
        <v>503</v>
      </c>
      <c r="I48" s="46" t="s">
        <v>686</v>
      </c>
      <c r="J48" s="46" t="s">
        <v>687</v>
      </c>
      <c r="K48" s="46" t="s">
        <v>687</v>
      </c>
      <c r="L48" s="47" t="s">
        <v>584</v>
      </c>
    </row>
    <row r="49" spans="1:12" ht="14.5">
      <c r="A49" s="45">
        <v>22001</v>
      </c>
      <c r="B49" s="46" t="s">
        <v>518</v>
      </c>
      <c r="C49" s="46" t="s">
        <v>514</v>
      </c>
      <c r="D49" s="46" t="s">
        <v>501</v>
      </c>
      <c r="E49" s="46" t="s">
        <v>501</v>
      </c>
      <c r="F49" s="46" t="s">
        <v>501</v>
      </c>
      <c r="G49" s="46" t="s">
        <v>531</v>
      </c>
      <c r="H49" s="46" t="s">
        <v>503</v>
      </c>
      <c r="I49" s="46" t="s">
        <v>688</v>
      </c>
      <c r="J49" s="46" t="s">
        <v>689</v>
      </c>
      <c r="K49" s="46" t="s">
        <v>604</v>
      </c>
      <c r="L49" s="47" t="s">
        <v>605</v>
      </c>
    </row>
    <row r="50" spans="1:12" ht="14.5">
      <c r="A50" s="45">
        <v>232488</v>
      </c>
      <c r="B50" s="46" t="s">
        <v>525</v>
      </c>
      <c r="C50" s="46" t="s">
        <v>514</v>
      </c>
      <c r="D50" s="46" t="s">
        <v>167</v>
      </c>
      <c r="E50" s="46" t="s">
        <v>169</v>
      </c>
      <c r="F50" s="46" t="s">
        <v>501</v>
      </c>
      <c r="G50" s="46" t="s">
        <v>539</v>
      </c>
      <c r="H50" s="46" t="s">
        <v>506</v>
      </c>
      <c r="I50" s="46" t="s">
        <v>690</v>
      </c>
      <c r="J50" s="46" t="s">
        <v>691</v>
      </c>
      <c r="K50" s="46" t="s">
        <v>691</v>
      </c>
      <c r="L50" s="47" t="s">
        <v>584</v>
      </c>
    </row>
    <row r="51" spans="1:12" ht="14.5">
      <c r="A51" s="45">
        <v>392860</v>
      </c>
      <c r="B51" s="46" t="s">
        <v>499</v>
      </c>
      <c r="C51" s="46" t="s">
        <v>500</v>
      </c>
      <c r="D51" s="46" t="s">
        <v>167</v>
      </c>
      <c r="E51" s="46" t="s">
        <v>501</v>
      </c>
      <c r="F51" s="46" t="s">
        <v>501</v>
      </c>
      <c r="G51" s="46" t="s">
        <v>519</v>
      </c>
      <c r="H51" s="46" t="s">
        <v>520</v>
      </c>
      <c r="I51" s="46" t="s">
        <v>692</v>
      </c>
      <c r="J51" s="46" t="s">
        <v>693</v>
      </c>
      <c r="K51" s="46" t="s">
        <v>694</v>
      </c>
      <c r="L51" s="5" t="s">
        <v>593</v>
      </c>
    </row>
    <row r="52" spans="1:12" ht="14.5">
      <c r="A52" s="45">
        <v>26673</v>
      </c>
      <c r="B52" s="46" t="s">
        <v>518</v>
      </c>
      <c r="C52" s="46" t="s">
        <v>514</v>
      </c>
      <c r="D52" s="46" t="s">
        <v>167</v>
      </c>
      <c r="E52" s="46" t="s">
        <v>501</v>
      </c>
      <c r="F52" s="46" t="s">
        <v>522</v>
      </c>
      <c r="G52" s="46" t="s">
        <v>519</v>
      </c>
      <c r="H52" s="46" t="s">
        <v>520</v>
      </c>
      <c r="I52" s="46" t="s">
        <v>695</v>
      </c>
      <c r="J52" s="46" t="s">
        <v>696</v>
      </c>
      <c r="K52" s="46" t="s">
        <v>613</v>
      </c>
      <c r="L52" s="5" t="s">
        <v>614</v>
      </c>
    </row>
    <row r="53" spans="1:12" ht="14.5">
      <c r="A53" s="45">
        <v>26673</v>
      </c>
      <c r="B53" s="46" t="s">
        <v>518</v>
      </c>
      <c r="C53" s="46" t="s">
        <v>514</v>
      </c>
      <c r="D53" s="46" t="s">
        <v>167</v>
      </c>
      <c r="E53" s="46" t="s">
        <v>501</v>
      </c>
      <c r="F53" s="46" t="s">
        <v>522</v>
      </c>
      <c r="G53" s="46" t="s">
        <v>519</v>
      </c>
      <c r="H53" s="46" t="s">
        <v>520</v>
      </c>
      <c r="I53" s="46" t="s">
        <v>697</v>
      </c>
      <c r="J53" s="46" t="s">
        <v>696</v>
      </c>
      <c r="K53" s="46" t="s">
        <v>613</v>
      </c>
      <c r="L53" s="5" t="s">
        <v>614</v>
      </c>
    </row>
    <row r="54" spans="1:12" ht="14.5">
      <c r="A54" s="45">
        <v>26673</v>
      </c>
      <c r="B54" s="46" t="s">
        <v>518</v>
      </c>
      <c r="C54" s="46" t="s">
        <v>514</v>
      </c>
      <c r="D54" s="46" t="s">
        <v>167</v>
      </c>
      <c r="E54" s="46" t="s">
        <v>501</v>
      </c>
      <c r="F54" s="46" t="s">
        <v>522</v>
      </c>
      <c r="G54" s="46" t="s">
        <v>519</v>
      </c>
      <c r="H54" s="46" t="s">
        <v>520</v>
      </c>
      <c r="I54" s="46" t="s">
        <v>698</v>
      </c>
      <c r="J54" s="46" t="s">
        <v>696</v>
      </c>
      <c r="K54" s="46" t="s">
        <v>613</v>
      </c>
      <c r="L54" s="5" t="s">
        <v>614</v>
      </c>
    </row>
    <row r="55" spans="1:12" ht="14.5">
      <c r="A55" s="45">
        <v>232488</v>
      </c>
      <c r="B55" s="46" t="s">
        <v>525</v>
      </c>
      <c r="C55" s="46" t="s">
        <v>514</v>
      </c>
      <c r="D55" s="46" t="s">
        <v>167</v>
      </c>
      <c r="E55" s="46" t="s">
        <v>169</v>
      </c>
      <c r="F55" s="46" t="s">
        <v>501</v>
      </c>
      <c r="G55" s="46" t="s">
        <v>539</v>
      </c>
      <c r="H55" s="46" t="s">
        <v>506</v>
      </c>
      <c r="I55" s="46" t="s">
        <v>459</v>
      </c>
      <c r="J55" s="46" t="s">
        <v>699</v>
      </c>
      <c r="K55" s="46" t="s">
        <v>700</v>
      </c>
      <c r="L55" s="5" t="s">
        <v>701</v>
      </c>
    </row>
    <row r="56" spans="1:12" ht="14.5">
      <c r="A56" s="45">
        <v>31614</v>
      </c>
      <c r="B56" s="46" t="s">
        <v>507</v>
      </c>
      <c r="C56" s="46" t="s">
        <v>500</v>
      </c>
      <c r="D56" s="46" t="s">
        <v>167</v>
      </c>
      <c r="E56" s="46" t="s">
        <v>169</v>
      </c>
      <c r="F56" s="46" t="s">
        <v>501</v>
      </c>
      <c r="G56" s="46" t="s">
        <v>508</v>
      </c>
      <c r="H56" s="46" t="s">
        <v>506</v>
      </c>
      <c r="I56" s="46" t="s">
        <v>702</v>
      </c>
      <c r="J56" s="46" t="s">
        <v>703</v>
      </c>
      <c r="K56" s="46" t="s">
        <v>700</v>
      </c>
      <c r="L56" s="5" t="s">
        <v>701</v>
      </c>
    </row>
    <row r="57" spans="1:12" ht="14.5">
      <c r="A57" s="45">
        <v>3017</v>
      </c>
      <c r="B57" s="46" t="s">
        <v>525</v>
      </c>
      <c r="C57" s="46" t="s">
        <v>514</v>
      </c>
      <c r="D57" s="46" t="s">
        <v>167</v>
      </c>
      <c r="E57" s="46" t="s">
        <v>501</v>
      </c>
      <c r="F57" s="46" t="s">
        <v>501</v>
      </c>
      <c r="G57" s="46" t="s">
        <v>519</v>
      </c>
      <c r="H57" s="46" t="s">
        <v>520</v>
      </c>
      <c r="I57" s="46" t="s">
        <v>704</v>
      </c>
      <c r="J57" s="46" t="s">
        <v>705</v>
      </c>
      <c r="K57" s="46" t="s">
        <v>640</v>
      </c>
      <c r="L57" s="5" t="s">
        <v>641</v>
      </c>
    </row>
    <row r="58" spans="1:12" ht="14.5">
      <c r="A58" s="45">
        <v>354302</v>
      </c>
      <c r="B58" s="46" t="s">
        <v>499</v>
      </c>
      <c r="C58" s="46" t="s">
        <v>500</v>
      </c>
      <c r="D58" s="46" t="s">
        <v>501</v>
      </c>
      <c r="E58" s="46" t="s">
        <v>501</v>
      </c>
      <c r="F58" s="46" t="s">
        <v>501</v>
      </c>
      <c r="G58" s="46" t="s">
        <v>530</v>
      </c>
      <c r="H58" s="46" t="s">
        <v>524</v>
      </c>
      <c r="I58" s="46" t="s">
        <v>706</v>
      </c>
      <c r="J58" s="46" t="s">
        <v>707</v>
      </c>
      <c r="K58" s="46" t="s">
        <v>708</v>
      </c>
      <c r="L58" s="5" t="s">
        <v>593</v>
      </c>
    </row>
    <row r="59" spans="1:12" ht="14.5">
      <c r="A59" s="45">
        <v>240325</v>
      </c>
      <c r="B59" s="46" t="s">
        <v>513</v>
      </c>
      <c r="C59" s="46" t="s">
        <v>514</v>
      </c>
      <c r="D59" s="46" t="s">
        <v>167</v>
      </c>
      <c r="E59" s="46" t="s">
        <v>289</v>
      </c>
      <c r="F59" s="46" t="s">
        <v>501</v>
      </c>
      <c r="G59" s="46" t="s">
        <v>515</v>
      </c>
      <c r="H59" s="46" t="s">
        <v>516</v>
      </c>
      <c r="I59" s="46" t="s">
        <v>709</v>
      </c>
      <c r="J59" s="46" t="s">
        <v>710</v>
      </c>
      <c r="K59" s="46" t="s">
        <v>711</v>
      </c>
      <c r="L59" s="5" t="s">
        <v>593</v>
      </c>
    </row>
    <row r="60" spans="1:12" ht="14.5">
      <c r="A60" s="45">
        <v>26673</v>
      </c>
      <c r="B60" s="46" t="s">
        <v>518</v>
      </c>
      <c r="C60" s="46" t="s">
        <v>514</v>
      </c>
      <c r="D60" s="46" t="s">
        <v>167</v>
      </c>
      <c r="E60" s="46" t="s">
        <v>501</v>
      </c>
      <c r="F60" s="46" t="s">
        <v>522</v>
      </c>
      <c r="G60" s="46" t="s">
        <v>519</v>
      </c>
      <c r="H60" s="46" t="s">
        <v>520</v>
      </c>
      <c r="I60" s="46" t="s">
        <v>712</v>
      </c>
      <c r="J60" s="46" t="s">
        <v>713</v>
      </c>
      <c r="K60" s="46" t="s">
        <v>713</v>
      </c>
      <c r="L60" s="5" t="s">
        <v>593</v>
      </c>
    </row>
    <row r="61" spans="1:12" ht="14.5">
      <c r="A61" s="45">
        <v>232488</v>
      </c>
      <c r="B61" s="46" t="s">
        <v>525</v>
      </c>
      <c r="C61" s="46" t="s">
        <v>514</v>
      </c>
      <c r="D61" s="46" t="s">
        <v>167</v>
      </c>
      <c r="E61" s="46" t="s">
        <v>169</v>
      </c>
      <c r="F61" s="46" t="s">
        <v>501</v>
      </c>
      <c r="G61" s="46" t="s">
        <v>539</v>
      </c>
      <c r="H61" s="46" t="s">
        <v>506</v>
      </c>
      <c r="I61" s="46" t="s">
        <v>714</v>
      </c>
      <c r="J61" s="46" t="s">
        <v>715</v>
      </c>
      <c r="K61" s="46" t="s">
        <v>716</v>
      </c>
      <c r="L61" s="5" t="s">
        <v>617</v>
      </c>
    </row>
    <row r="62" spans="1:12" ht="14.5">
      <c r="A62" s="45">
        <v>354302</v>
      </c>
      <c r="B62" s="46" t="s">
        <v>499</v>
      </c>
      <c r="C62" s="46" t="s">
        <v>500</v>
      </c>
      <c r="D62" s="46" t="s">
        <v>501</v>
      </c>
      <c r="E62" s="46" t="s">
        <v>501</v>
      </c>
      <c r="F62" s="46" t="s">
        <v>501</v>
      </c>
      <c r="G62" s="46" t="s">
        <v>530</v>
      </c>
      <c r="H62" s="46" t="s">
        <v>524</v>
      </c>
      <c r="I62" s="46" t="s">
        <v>717</v>
      </c>
      <c r="J62" s="46" t="s">
        <v>718</v>
      </c>
      <c r="K62" s="46" t="s">
        <v>719</v>
      </c>
      <c r="L62" s="5" t="s">
        <v>668</v>
      </c>
    </row>
    <row r="63" spans="1:12" ht="14.5">
      <c r="A63" s="45">
        <v>118123</v>
      </c>
      <c r="B63" s="46" t="s">
        <v>509</v>
      </c>
      <c r="C63" s="46" t="s">
        <v>500</v>
      </c>
      <c r="D63" s="46" t="s">
        <v>167</v>
      </c>
      <c r="E63" s="46" t="s">
        <v>501</v>
      </c>
      <c r="F63" s="46" t="s">
        <v>501</v>
      </c>
      <c r="G63" s="46" t="s">
        <v>510</v>
      </c>
      <c r="H63" s="46" t="s">
        <v>511</v>
      </c>
      <c r="I63" s="46" t="s">
        <v>720</v>
      </c>
      <c r="J63" s="46" t="s">
        <v>721</v>
      </c>
      <c r="K63" s="46" t="s">
        <v>631</v>
      </c>
      <c r="L63" s="47" t="s">
        <v>605</v>
      </c>
    </row>
    <row r="64" spans="1:12" ht="14.5">
      <c r="A64" s="45">
        <v>194180</v>
      </c>
      <c r="B64" s="46" t="s">
        <v>526</v>
      </c>
      <c r="C64" s="46" t="s">
        <v>514</v>
      </c>
      <c r="D64" s="46" t="s">
        <v>431</v>
      </c>
      <c r="E64" s="46" t="s">
        <v>501</v>
      </c>
      <c r="F64" s="46" t="s">
        <v>501</v>
      </c>
      <c r="G64" s="46" t="s">
        <v>510</v>
      </c>
      <c r="H64" s="46" t="s">
        <v>511</v>
      </c>
      <c r="I64" s="46" t="s">
        <v>722</v>
      </c>
      <c r="J64" s="46" t="s">
        <v>723</v>
      </c>
      <c r="K64" s="46" t="s">
        <v>667</v>
      </c>
      <c r="L64" s="5" t="s">
        <v>668</v>
      </c>
    </row>
    <row r="65" spans="1:12" ht="14.5">
      <c r="A65" s="45">
        <v>194180</v>
      </c>
      <c r="B65" s="46" t="s">
        <v>526</v>
      </c>
      <c r="C65" s="46" t="s">
        <v>514</v>
      </c>
      <c r="D65" s="46" t="s">
        <v>431</v>
      </c>
      <c r="E65" s="46" t="s">
        <v>501</v>
      </c>
      <c r="F65" s="46" t="s">
        <v>501</v>
      </c>
      <c r="G65" s="46" t="s">
        <v>510</v>
      </c>
      <c r="H65" s="46" t="s">
        <v>511</v>
      </c>
      <c r="I65" s="46" t="s">
        <v>724</v>
      </c>
      <c r="J65" s="46" t="s">
        <v>725</v>
      </c>
      <c r="K65" s="46" t="s">
        <v>667</v>
      </c>
      <c r="L65" s="5" t="s">
        <v>668</v>
      </c>
    </row>
    <row r="66" spans="1:12" ht="14.5">
      <c r="A66" s="45">
        <v>228110</v>
      </c>
      <c r="B66" s="46" t="s">
        <v>518</v>
      </c>
      <c r="C66" s="46" t="s">
        <v>514</v>
      </c>
      <c r="D66" s="46" t="s">
        <v>501</v>
      </c>
      <c r="E66" s="46" t="s">
        <v>501</v>
      </c>
      <c r="F66" s="46" t="s">
        <v>501</v>
      </c>
      <c r="G66" s="46" t="s">
        <v>519</v>
      </c>
      <c r="H66" s="46" t="s">
        <v>520</v>
      </c>
      <c r="I66" s="46" t="s">
        <v>726</v>
      </c>
      <c r="J66" s="46" t="s">
        <v>727</v>
      </c>
      <c r="K66" s="46" t="s">
        <v>727</v>
      </c>
      <c r="L66" s="5" t="s">
        <v>668</v>
      </c>
    </row>
    <row r="67" spans="1:12" ht="14.5">
      <c r="A67" s="45">
        <v>127213</v>
      </c>
      <c r="B67" s="46" t="s">
        <v>526</v>
      </c>
      <c r="C67" s="46" t="s">
        <v>514</v>
      </c>
      <c r="D67" s="46" t="s">
        <v>501</v>
      </c>
      <c r="E67" s="46" t="s">
        <v>501</v>
      </c>
      <c r="F67" s="46" t="s">
        <v>527</v>
      </c>
      <c r="G67" s="46" t="s">
        <v>528</v>
      </c>
      <c r="H67" s="46" t="s">
        <v>520</v>
      </c>
      <c r="I67" s="46" t="s">
        <v>728</v>
      </c>
      <c r="J67" s="46" t="s">
        <v>729</v>
      </c>
      <c r="K67" s="46" t="s">
        <v>634</v>
      </c>
      <c r="L67" s="5" t="s">
        <v>617</v>
      </c>
    </row>
    <row r="68" spans="1:12" ht="14.5">
      <c r="A68" s="45">
        <v>240325</v>
      </c>
      <c r="B68" s="46" t="s">
        <v>513</v>
      </c>
      <c r="C68" s="46" t="s">
        <v>514</v>
      </c>
      <c r="D68" s="46" t="s">
        <v>167</v>
      </c>
      <c r="E68" s="46" t="s">
        <v>289</v>
      </c>
      <c r="F68" s="46" t="s">
        <v>501</v>
      </c>
      <c r="G68" s="46" t="s">
        <v>515</v>
      </c>
      <c r="H68" s="46" t="s">
        <v>516</v>
      </c>
      <c r="I68" s="46" t="s">
        <v>730</v>
      </c>
      <c r="J68" s="46" t="s">
        <v>731</v>
      </c>
      <c r="K68" s="46" t="s">
        <v>711</v>
      </c>
      <c r="L68" s="5" t="s">
        <v>593</v>
      </c>
    </row>
    <row r="69" spans="1:12" ht="14.5">
      <c r="A69" s="45">
        <v>403583</v>
      </c>
      <c r="B69" s="46" t="s">
        <v>509</v>
      </c>
      <c r="C69" s="46" t="s">
        <v>500</v>
      </c>
      <c r="D69" s="46" t="s">
        <v>167</v>
      </c>
      <c r="E69" s="46" t="s">
        <v>366</v>
      </c>
      <c r="F69" s="46" t="s">
        <v>501</v>
      </c>
      <c r="G69" s="46" t="s">
        <v>510</v>
      </c>
      <c r="H69" s="46" t="s">
        <v>511</v>
      </c>
      <c r="I69" s="46" t="s">
        <v>732</v>
      </c>
      <c r="J69" s="46" t="s">
        <v>733</v>
      </c>
      <c r="K69" s="46" t="s">
        <v>734</v>
      </c>
      <c r="L69" s="47" t="s">
        <v>605</v>
      </c>
    </row>
    <row r="70" spans="1:12" ht="14.5">
      <c r="A70" s="45">
        <v>118123</v>
      </c>
      <c r="B70" s="46" t="s">
        <v>509</v>
      </c>
      <c r="C70" s="46" t="s">
        <v>500</v>
      </c>
      <c r="D70" s="46" t="s">
        <v>167</v>
      </c>
      <c r="E70" s="46" t="s">
        <v>501</v>
      </c>
      <c r="F70" s="46" t="s">
        <v>501</v>
      </c>
      <c r="G70" s="46" t="s">
        <v>510</v>
      </c>
      <c r="H70" s="46" t="s">
        <v>511</v>
      </c>
      <c r="I70" s="46" t="s">
        <v>735</v>
      </c>
      <c r="J70" s="46" t="s">
        <v>736</v>
      </c>
      <c r="K70" s="46" t="s">
        <v>737</v>
      </c>
      <c r="L70" s="5" t="s">
        <v>626</v>
      </c>
    </row>
    <row r="71" spans="1:12" ht="14.5">
      <c r="A71" s="45">
        <v>232488</v>
      </c>
      <c r="B71" s="46" t="s">
        <v>525</v>
      </c>
      <c r="C71" s="46" t="s">
        <v>514</v>
      </c>
      <c r="D71" s="46" t="s">
        <v>167</v>
      </c>
      <c r="E71" s="46" t="s">
        <v>169</v>
      </c>
      <c r="F71" s="46" t="s">
        <v>501</v>
      </c>
      <c r="G71" s="46" t="s">
        <v>539</v>
      </c>
      <c r="H71" s="46" t="s">
        <v>506</v>
      </c>
      <c r="I71" s="46" t="s">
        <v>738</v>
      </c>
      <c r="J71" s="46" t="s">
        <v>739</v>
      </c>
      <c r="K71" s="46" t="s">
        <v>655</v>
      </c>
      <c r="L71" s="5" t="s">
        <v>601</v>
      </c>
    </row>
    <row r="72" spans="1:12" ht="14.5">
      <c r="A72" s="45">
        <v>22001</v>
      </c>
      <c r="B72" s="46" t="s">
        <v>518</v>
      </c>
      <c r="C72" s="46" t="s">
        <v>514</v>
      </c>
      <c r="D72" s="46" t="s">
        <v>501</v>
      </c>
      <c r="E72" s="46" t="s">
        <v>501</v>
      </c>
      <c r="F72" s="46" t="s">
        <v>501</v>
      </c>
      <c r="G72" s="46" t="s">
        <v>531</v>
      </c>
      <c r="H72" s="46" t="s">
        <v>503</v>
      </c>
      <c r="I72" s="46" t="s">
        <v>740</v>
      </c>
      <c r="J72" s="46" t="s">
        <v>741</v>
      </c>
      <c r="K72" s="46" t="s">
        <v>741</v>
      </c>
      <c r="L72" s="5" t="s">
        <v>593</v>
      </c>
    </row>
    <row r="73" spans="1:12" ht="14.5">
      <c r="A73" s="45">
        <v>22001</v>
      </c>
      <c r="B73" s="46" t="s">
        <v>518</v>
      </c>
      <c r="C73" s="46" t="s">
        <v>514</v>
      </c>
      <c r="D73" s="46" t="s">
        <v>501</v>
      </c>
      <c r="E73" s="46" t="s">
        <v>501</v>
      </c>
      <c r="F73" s="46" t="s">
        <v>501</v>
      </c>
      <c r="G73" s="46" t="s">
        <v>531</v>
      </c>
      <c r="H73" s="46" t="s">
        <v>503</v>
      </c>
      <c r="I73" s="46" t="s">
        <v>742</v>
      </c>
      <c r="J73" s="46" t="s">
        <v>741</v>
      </c>
      <c r="K73" s="46" t="s">
        <v>741</v>
      </c>
      <c r="L73" s="5" t="s">
        <v>593</v>
      </c>
    </row>
    <row r="74" spans="1:12" ht="14.5">
      <c r="A74" s="45">
        <v>398317</v>
      </c>
      <c r="B74" s="46" t="s">
        <v>525</v>
      </c>
      <c r="C74" s="46" t="s">
        <v>514</v>
      </c>
      <c r="D74" s="46" t="s">
        <v>501</v>
      </c>
      <c r="E74" s="46" t="s">
        <v>501</v>
      </c>
      <c r="F74" s="46" t="s">
        <v>501</v>
      </c>
      <c r="G74" s="46" t="s">
        <v>519</v>
      </c>
      <c r="H74" s="46" t="s">
        <v>520</v>
      </c>
      <c r="I74" s="46" t="s">
        <v>743</v>
      </c>
      <c r="J74" s="46" t="s">
        <v>744</v>
      </c>
      <c r="K74" s="46" t="s">
        <v>745</v>
      </c>
      <c r="L74" s="5" t="s">
        <v>617</v>
      </c>
    </row>
    <row r="75" spans="1:12" ht="14.5">
      <c r="A75" s="45">
        <v>25714</v>
      </c>
      <c r="B75" s="46" t="s">
        <v>509</v>
      </c>
      <c r="C75" s="46" t="s">
        <v>500</v>
      </c>
      <c r="D75" s="46" t="s">
        <v>167</v>
      </c>
      <c r="E75" s="46" t="s">
        <v>289</v>
      </c>
      <c r="F75" s="46" t="s">
        <v>501</v>
      </c>
      <c r="G75" s="46" t="s">
        <v>510</v>
      </c>
      <c r="H75" s="46" t="s">
        <v>511</v>
      </c>
      <c r="I75" s="46" t="s">
        <v>746</v>
      </c>
      <c r="J75" s="46" t="s">
        <v>747</v>
      </c>
      <c r="K75" s="46" t="s">
        <v>748</v>
      </c>
      <c r="L75" s="5" t="s">
        <v>593</v>
      </c>
    </row>
    <row r="76" spans="1:12" ht="14.5">
      <c r="A76" s="45">
        <v>30061</v>
      </c>
      <c r="B76" s="46" t="s">
        <v>537</v>
      </c>
      <c r="C76" s="46" t="s">
        <v>514</v>
      </c>
      <c r="D76" s="46" t="s">
        <v>501</v>
      </c>
      <c r="E76" s="46" t="s">
        <v>538</v>
      </c>
      <c r="F76" s="46" t="s">
        <v>501</v>
      </c>
      <c r="G76" s="46" t="s">
        <v>510</v>
      </c>
      <c r="H76" s="46" t="s">
        <v>511</v>
      </c>
      <c r="I76" s="46" t="s">
        <v>749</v>
      </c>
      <c r="J76" s="49" t="s">
        <v>750</v>
      </c>
      <c r="K76" s="46" t="s">
        <v>694</v>
      </c>
      <c r="L76" s="5" t="s">
        <v>593</v>
      </c>
    </row>
    <row r="77" spans="1:12" ht="14.5">
      <c r="A77" s="45">
        <v>194180</v>
      </c>
      <c r="B77" s="46" t="s">
        <v>526</v>
      </c>
      <c r="C77" s="46" t="s">
        <v>514</v>
      </c>
      <c r="D77" s="46" t="s">
        <v>431</v>
      </c>
      <c r="E77" s="46" t="s">
        <v>501</v>
      </c>
      <c r="F77" s="46" t="s">
        <v>501</v>
      </c>
      <c r="G77" s="46" t="s">
        <v>510</v>
      </c>
      <c r="H77" s="46" t="s">
        <v>511</v>
      </c>
      <c r="I77" s="46" t="s">
        <v>751</v>
      </c>
      <c r="J77" s="46" t="s">
        <v>752</v>
      </c>
      <c r="K77" s="46" t="s">
        <v>748</v>
      </c>
      <c r="L77" s="5" t="s">
        <v>593</v>
      </c>
    </row>
    <row r="78" spans="1:12" ht="14.5">
      <c r="A78" s="45">
        <v>127213</v>
      </c>
      <c r="B78" s="46" t="s">
        <v>526</v>
      </c>
      <c r="C78" s="46" t="s">
        <v>514</v>
      </c>
      <c r="D78" s="46" t="s">
        <v>501</v>
      </c>
      <c r="E78" s="46" t="s">
        <v>501</v>
      </c>
      <c r="F78" s="46" t="s">
        <v>527</v>
      </c>
      <c r="G78" s="46" t="s">
        <v>528</v>
      </c>
      <c r="H78" s="46" t="s">
        <v>520</v>
      </c>
      <c r="I78" s="46" t="s">
        <v>753</v>
      </c>
      <c r="J78" s="46" t="s">
        <v>752</v>
      </c>
      <c r="K78" s="46" t="s">
        <v>748</v>
      </c>
      <c r="L78" s="5" t="s">
        <v>593</v>
      </c>
    </row>
    <row r="79" spans="1:12" ht="14.5">
      <c r="A79" s="45">
        <v>147937</v>
      </c>
      <c r="B79" s="46" t="s">
        <v>526</v>
      </c>
      <c r="C79" s="46" t="s">
        <v>514</v>
      </c>
      <c r="D79" s="46" t="s">
        <v>501</v>
      </c>
      <c r="E79" s="46" t="s">
        <v>501</v>
      </c>
      <c r="F79" s="46" t="s">
        <v>522</v>
      </c>
      <c r="G79" s="46" t="s">
        <v>510</v>
      </c>
      <c r="H79" s="46" t="s">
        <v>511</v>
      </c>
      <c r="I79" s="46" t="s">
        <v>754</v>
      </c>
      <c r="J79" s="46" t="s">
        <v>752</v>
      </c>
      <c r="K79" s="46" t="s">
        <v>748</v>
      </c>
      <c r="L79" s="5" t="s">
        <v>593</v>
      </c>
    </row>
    <row r="80" spans="1:12" ht="14.5">
      <c r="A80" s="45">
        <v>147937</v>
      </c>
      <c r="B80" s="46" t="s">
        <v>526</v>
      </c>
      <c r="C80" s="46" t="s">
        <v>514</v>
      </c>
      <c r="D80" s="46" t="s">
        <v>501</v>
      </c>
      <c r="E80" s="46" t="s">
        <v>501</v>
      </c>
      <c r="F80" s="46" t="s">
        <v>522</v>
      </c>
      <c r="G80" s="46" t="s">
        <v>510</v>
      </c>
      <c r="H80" s="46" t="s">
        <v>511</v>
      </c>
      <c r="I80" s="46" t="s">
        <v>755</v>
      </c>
      <c r="J80" s="46" t="s">
        <v>752</v>
      </c>
      <c r="K80" s="46" t="s">
        <v>748</v>
      </c>
      <c r="L80" s="5" t="s">
        <v>593</v>
      </c>
    </row>
    <row r="81" spans="1:12" ht="14.5">
      <c r="A81" s="45">
        <v>31614</v>
      </c>
      <c r="B81" s="46" t="s">
        <v>507</v>
      </c>
      <c r="C81" s="46" t="s">
        <v>500</v>
      </c>
      <c r="D81" s="46" t="s">
        <v>167</v>
      </c>
      <c r="E81" s="46" t="s">
        <v>169</v>
      </c>
      <c r="F81" s="46" t="s">
        <v>501</v>
      </c>
      <c r="G81" s="46" t="s">
        <v>508</v>
      </c>
      <c r="H81" s="46" t="s">
        <v>506</v>
      </c>
      <c r="I81" s="46" t="s">
        <v>756</v>
      </c>
      <c r="J81" s="46" t="s">
        <v>757</v>
      </c>
      <c r="K81" s="46" t="s">
        <v>758</v>
      </c>
      <c r="L81" s="5" t="s">
        <v>701</v>
      </c>
    </row>
    <row r="82" spans="1:12" ht="14.5">
      <c r="A82" s="45">
        <v>194180</v>
      </c>
      <c r="B82" s="46" t="s">
        <v>526</v>
      </c>
      <c r="C82" s="46" t="s">
        <v>514</v>
      </c>
      <c r="D82" s="46" t="s">
        <v>431</v>
      </c>
      <c r="E82" s="46" t="s">
        <v>501</v>
      </c>
      <c r="F82" s="46" t="s">
        <v>501</v>
      </c>
      <c r="G82" s="46" t="s">
        <v>510</v>
      </c>
      <c r="H82" s="46" t="s">
        <v>511</v>
      </c>
      <c r="I82" s="46" t="s">
        <v>759</v>
      </c>
      <c r="J82" s="46" t="s">
        <v>760</v>
      </c>
      <c r="K82" s="46" t="s">
        <v>760</v>
      </c>
      <c r="L82" s="5" t="s">
        <v>593</v>
      </c>
    </row>
    <row r="83" spans="1:12" ht="14.5">
      <c r="A83" s="45">
        <v>20827</v>
      </c>
      <c r="B83" s="46" t="s">
        <v>540</v>
      </c>
      <c r="C83" s="46" t="s">
        <v>500</v>
      </c>
      <c r="D83" s="46" t="s">
        <v>167</v>
      </c>
      <c r="E83" s="46" t="s">
        <v>169</v>
      </c>
      <c r="F83" s="46" t="s">
        <v>501</v>
      </c>
      <c r="G83" s="46" t="s">
        <v>541</v>
      </c>
      <c r="H83" s="46" t="s">
        <v>524</v>
      </c>
      <c r="I83" s="46" t="s">
        <v>469</v>
      </c>
      <c r="J83" s="49" t="s">
        <v>761</v>
      </c>
      <c r="K83" s="46" t="s">
        <v>694</v>
      </c>
      <c r="L83" s="5" t="s">
        <v>593</v>
      </c>
    </row>
    <row r="84" spans="1:12" ht="14.5">
      <c r="A84" s="45">
        <v>392860</v>
      </c>
      <c r="B84" s="46" t="s">
        <v>499</v>
      </c>
      <c r="C84" s="46" t="s">
        <v>500</v>
      </c>
      <c r="D84" s="46" t="s">
        <v>167</v>
      </c>
      <c r="E84" s="46" t="s">
        <v>501</v>
      </c>
      <c r="F84" s="46" t="s">
        <v>501</v>
      </c>
      <c r="G84" s="46" t="s">
        <v>519</v>
      </c>
      <c r="H84" s="46" t="s">
        <v>520</v>
      </c>
      <c r="I84" s="46" t="s">
        <v>762</v>
      </c>
      <c r="J84" s="46" t="s">
        <v>761</v>
      </c>
      <c r="K84" s="46" t="s">
        <v>694</v>
      </c>
      <c r="L84" s="5" t="s">
        <v>593</v>
      </c>
    </row>
    <row r="85" spans="1:12" ht="14.5">
      <c r="A85" s="45">
        <v>147937</v>
      </c>
      <c r="B85" s="46" t="s">
        <v>526</v>
      </c>
      <c r="C85" s="46" t="s">
        <v>514</v>
      </c>
      <c r="D85" s="46" t="s">
        <v>501</v>
      </c>
      <c r="E85" s="46" t="s">
        <v>501</v>
      </c>
      <c r="F85" s="46" t="s">
        <v>522</v>
      </c>
      <c r="G85" s="46" t="s">
        <v>510</v>
      </c>
      <c r="H85" s="46" t="s">
        <v>511</v>
      </c>
      <c r="I85" s="46" t="s">
        <v>763</v>
      </c>
      <c r="J85" s="46" t="s">
        <v>764</v>
      </c>
      <c r="K85" s="46" t="s">
        <v>764</v>
      </c>
      <c r="L85" s="47" t="s">
        <v>605</v>
      </c>
    </row>
    <row r="86" spans="1:12" ht="14.5">
      <c r="A86" s="45">
        <v>26673</v>
      </c>
      <c r="B86" s="46" t="s">
        <v>518</v>
      </c>
      <c r="C86" s="46" t="s">
        <v>514</v>
      </c>
      <c r="D86" s="46" t="s">
        <v>167</v>
      </c>
      <c r="E86" s="46" t="s">
        <v>501</v>
      </c>
      <c r="F86" s="46" t="s">
        <v>522</v>
      </c>
      <c r="G86" s="46" t="s">
        <v>519</v>
      </c>
      <c r="H86" s="46" t="s">
        <v>520</v>
      </c>
      <c r="I86" s="46" t="s">
        <v>765</v>
      </c>
      <c r="J86" s="46" t="s">
        <v>766</v>
      </c>
      <c r="K86" s="46" t="s">
        <v>613</v>
      </c>
      <c r="L86" s="5" t="s">
        <v>614</v>
      </c>
    </row>
    <row r="87" spans="1:12" ht="14.5">
      <c r="A87" s="45">
        <v>147937</v>
      </c>
      <c r="B87" s="46" t="s">
        <v>526</v>
      </c>
      <c r="C87" s="46" t="s">
        <v>514</v>
      </c>
      <c r="D87" s="46" t="s">
        <v>501</v>
      </c>
      <c r="E87" s="46" t="s">
        <v>501</v>
      </c>
      <c r="F87" s="46" t="s">
        <v>522</v>
      </c>
      <c r="G87" s="46" t="s">
        <v>510</v>
      </c>
      <c r="H87" s="46" t="s">
        <v>511</v>
      </c>
      <c r="I87" s="46" t="s">
        <v>767</v>
      </c>
      <c r="J87" s="46" t="s">
        <v>768</v>
      </c>
      <c r="K87" s="46" t="s">
        <v>678</v>
      </c>
      <c r="L87" s="5" t="s">
        <v>641</v>
      </c>
    </row>
    <row r="88" spans="1:12" ht="14.5">
      <c r="A88" s="45">
        <v>240325</v>
      </c>
      <c r="B88" s="46" t="s">
        <v>513</v>
      </c>
      <c r="C88" s="46" t="s">
        <v>514</v>
      </c>
      <c r="D88" s="46" t="s">
        <v>167</v>
      </c>
      <c r="E88" s="46" t="s">
        <v>289</v>
      </c>
      <c r="F88" s="46" t="s">
        <v>501</v>
      </c>
      <c r="G88" s="46" t="s">
        <v>515</v>
      </c>
      <c r="H88" s="46" t="s">
        <v>516</v>
      </c>
      <c r="I88" s="46" t="s">
        <v>769</v>
      </c>
      <c r="J88" s="46" t="s">
        <v>770</v>
      </c>
      <c r="K88" s="46" t="s">
        <v>771</v>
      </c>
      <c r="L88" s="5" t="s">
        <v>641</v>
      </c>
    </row>
    <row r="89" spans="1:12" ht="14.5">
      <c r="A89" s="45">
        <v>34041</v>
      </c>
      <c r="B89" s="46" t="s">
        <v>537</v>
      </c>
      <c r="C89" s="46" t="s">
        <v>514</v>
      </c>
      <c r="D89" s="46" t="s">
        <v>501</v>
      </c>
      <c r="E89" s="46" t="s">
        <v>501</v>
      </c>
      <c r="F89" s="46" t="s">
        <v>501</v>
      </c>
      <c r="G89" s="46" t="s">
        <v>502</v>
      </c>
      <c r="H89" s="46" t="s">
        <v>503</v>
      </c>
      <c r="I89" s="46" t="s">
        <v>772</v>
      </c>
      <c r="J89" s="49" t="s">
        <v>773</v>
      </c>
      <c r="K89" s="46" t="s">
        <v>678</v>
      </c>
      <c r="L89" s="5" t="s">
        <v>641</v>
      </c>
    </row>
    <row r="90" spans="1:12" ht="14.5">
      <c r="A90" s="45">
        <v>3017</v>
      </c>
      <c r="B90" s="46" t="s">
        <v>525</v>
      </c>
      <c r="C90" s="46" t="s">
        <v>514</v>
      </c>
      <c r="D90" s="46" t="s">
        <v>167</v>
      </c>
      <c r="E90" s="46" t="s">
        <v>501</v>
      </c>
      <c r="F90" s="46" t="s">
        <v>501</v>
      </c>
      <c r="G90" s="46" t="s">
        <v>519</v>
      </c>
      <c r="H90" s="46" t="s">
        <v>520</v>
      </c>
      <c r="I90" s="46" t="s">
        <v>774</v>
      </c>
      <c r="J90" s="46" t="s">
        <v>775</v>
      </c>
      <c r="K90" s="46" t="s">
        <v>771</v>
      </c>
      <c r="L90" s="5" t="s">
        <v>641</v>
      </c>
    </row>
    <row r="91" spans="1:12" ht="14.5">
      <c r="A91" s="45">
        <v>127213</v>
      </c>
      <c r="B91" s="46" t="s">
        <v>526</v>
      </c>
      <c r="C91" s="46" t="s">
        <v>514</v>
      </c>
      <c r="D91" s="46" t="s">
        <v>501</v>
      </c>
      <c r="E91" s="46" t="s">
        <v>501</v>
      </c>
      <c r="F91" s="46" t="s">
        <v>527</v>
      </c>
      <c r="G91" s="46" t="s">
        <v>528</v>
      </c>
      <c r="H91" s="46" t="s">
        <v>520</v>
      </c>
      <c r="I91" s="46" t="s">
        <v>776</v>
      </c>
      <c r="J91" s="46" t="s">
        <v>777</v>
      </c>
      <c r="K91" s="46" t="s">
        <v>778</v>
      </c>
      <c r="L91" s="5" t="s">
        <v>668</v>
      </c>
    </row>
    <row r="92" spans="1:12" ht="14.5">
      <c r="A92" s="45">
        <v>31614</v>
      </c>
      <c r="B92" s="46" t="s">
        <v>507</v>
      </c>
      <c r="C92" s="46" t="s">
        <v>500</v>
      </c>
      <c r="D92" s="46" t="s">
        <v>167</v>
      </c>
      <c r="E92" s="46" t="s">
        <v>169</v>
      </c>
      <c r="F92" s="46" t="s">
        <v>501</v>
      </c>
      <c r="G92" s="46" t="s">
        <v>508</v>
      </c>
      <c r="H92" s="46" t="s">
        <v>506</v>
      </c>
      <c r="I92" s="46" t="s">
        <v>779</v>
      </c>
      <c r="J92" s="46" t="s">
        <v>780</v>
      </c>
      <c r="K92" s="46" t="s">
        <v>780</v>
      </c>
      <c r="L92" s="5" t="s">
        <v>701</v>
      </c>
    </row>
    <row r="93" spans="1:12" ht="14.5">
      <c r="A93" s="45">
        <v>34041</v>
      </c>
      <c r="B93" s="46" t="s">
        <v>537</v>
      </c>
      <c r="C93" s="46" t="s">
        <v>514</v>
      </c>
      <c r="D93" s="46" t="s">
        <v>501</v>
      </c>
      <c r="E93" s="46" t="s">
        <v>501</v>
      </c>
      <c r="F93" s="46" t="s">
        <v>501</v>
      </c>
      <c r="G93" s="46" t="s">
        <v>502</v>
      </c>
      <c r="H93" s="46" t="s">
        <v>503</v>
      </c>
      <c r="I93" s="46" t="s">
        <v>781</v>
      </c>
      <c r="J93" s="49" t="s">
        <v>782</v>
      </c>
      <c r="K93" s="46" t="s">
        <v>678</v>
      </c>
      <c r="L93" s="5" t="s">
        <v>641</v>
      </c>
    </row>
    <row r="94" spans="1:12" ht="14.5">
      <c r="A94" s="45">
        <v>26673</v>
      </c>
      <c r="B94" s="46" t="s">
        <v>518</v>
      </c>
      <c r="C94" s="46" t="s">
        <v>514</v>
      </c>
      <c r="D94" s="46" t="s">
        <v>167</v>
      </c>
      <c r="E94" s="46" t="s">
        <v>501</v>
      </c>
      <c r="F94" s="46" t="s">
        <v>522</v>
      </c>
      <c r="G94" s="46" t="s">
        <v>519</v>
      </c>
      <c r="H94" s="46" t="s">
        <v>520</v>
      </c>
      <c r="I94" s="46" t="s">
        <v>783</v>
      </c>
      <c r="J94" s="46" t="s">
        <v>784</v>
      </c>
      <c r="K94" s="46" t="s">
        <v>711</v>
      </c>
      <c r="L94" s="5" t="s">
        <v>593</v>
      </c>
    </row>
    <row r="95" spans="1:12" ht="14.5">
      <c r="A95" s="45">
        <v>14189</v>
      </c>
      <c r="B95" s="46" t="s">
        <v>525</v>
      </c>
      <c r="C95" s="46" t="s">
        <v>514</v>
      </c>
      <c r="D95" s="46" t="s">
        <v>167</v>
      </c>
      <c r="E95" s="46" t="s">
        <v>501</v>
      </c>
      <c r="F95" s="46" t="s">
        <v>501</v>
      </c>
      <c r="G95" s="46" t="s">
        <v>519</v>
      </c>
      <c r="H95" s="46" t="s">
        <v>520</v>
      </c>
      <c r="I95" s="46" t="s">
        <v>785</v>
      </c>
      <c r="J95" s="46" t="s">
        <v>786</v>
      </c>
      <c r="K95" s="46" t="s">
        <v>711</v>
      </c>
      <c r="L95" s="5" t="s">
        <v>593</v>
      </c>
    </row>
    <row r="96" spans="1:12" ht="14.5">
      <c r="A96" s="45">
        <v>12641</v>
      </c>
      <c r="B96" s="46" t="s">
        <v>513</v>
      </c>
      <c r="C96" s="46" t="s">
        <v>514</v>
      </c>
      <c r="D96" s="46" t="s">
        <v>501</v>
      </c>
      <c r="E96" s="46" t="s">
        <v>501</v>
      </c>
      <c r="F96" s="46" t="s">
        <v>501</v>
      </c>
      <c r="G96" s="46" t="s">
        <v>531</v>
      </c>
      <c r="H96" s="46" t="s">
        <v>503</v>
      </c>
      <c r="I96" s="46" t="s">
        <v>787</v>
      </c>
      <c r="J96" s="46" t="s">
        <v>788</v>
      </c>
      <c r="K96" s="46" t="s">
        <v>789</v>
      </c>
      <c r="L96" s="47" t="s">
        <v>584</v>
      </c>
    </row>
    <row r="97" spans="1:12" ht="14.5">
      <c r="A97" s="45">
        <v>22001</v>
      </c>
      <c r="B97" s="46" t="s">
        <v>518</v>
      </c>
      <c r="C97" s="46" t="s">
        <v>514</v>
      </c>
      <c r="D97" s="46" t="s">
        <v>501</v>
      </c>
      <c r="E97" s="46" t="s">
        <v>501</v>
      </c>
      <c r="F97" s="46" t="s">
        <v>501</v>
      </c>
      <c r="G97" s="46" t="s">
        <v>531</v>
      </c>
      <c r="H97" s="46" t="s">
        <v>503</v>
      </c>
      <c r="I97" s="46" t="s">
        <v>790</v>
      </c>
      <c r="J97" s="46" t="s">
        <v>791</v>
      </c>
      <c r="K97" s="46" t="s">
        <v>719</v>
      </c>
      <c r="L97" s="5" t="s">
        <v>668</v>
      </c>
    </row>
    <row r="98" spans="1:12" ht="14.5">
      <c r="A98" s="45">
        <v>398317</v>
      </c>
      <c r="B98" s="46" t="s">
        <v>525</v>
      </c>
      <c r="C98" s="46" t="s">
        <v>514</v>
      </c>
      <c r="D98" s="46" t="s">
        <v>501</v>
      </c>
      <c r="E98" s="46" t="s">
        <v>501</v>
      </c>
      <c r="F98" s="46" t="s">
        <v>501</v>
      </c>
      <c r="G98" s="46" t="s">
        <v>519</v>
      </c>
      <c r="H98" s="46" t="s">
        <v>520</v>
      </c>
      <c r="I98" s="46" t="s">
        <v>792</v>
      </c>
      <c r="J98" s="46" t="s">
        <v>793</v>
      </c>
      <c r="K98" s="46" t="s">
        <v>771</v>
      </c>
      <c r="L98" s="5" t="s">
        <v>641</v>
      </c>
    </row>
    <row r="99" spans="1:12" ht="14.5">
      <c r="A99" s="45">
        <v>228110</v>
      </c>
      <c r="B99" s="46" t="s">
        <v>518</v>
      </c>
      <c r="C99" s="46" t="s">
        <v>514</v>
      </c>
      <c r="D99" s="46" t="s">
        <v>501</v>
      </c>
      <c r="E99" s="46" t="s">
        <v>501</v>
      </c>
      <c r="F99" s="46" t="s">
        <v>501</v>
      </c>
      <c r="G99" s="46" t="s">
        <v>519</v>
      </c>
      <c r="H99" s="46" t="s">
        <v>520</v>
      </c>
      <c r="I99" s="46" t="s">
        <v>794</v>
      </c>
      <c r="J99" s="46" t="s">
        <v>795</v>
      </c>
      <c r="K99" s="46" t="s">
        <v>711</v>
      </c>
      <c r="L99" s="5" t="s">
        <v>593</v>
      </c>
    </row>
    <row r="100" spans="1:12" ht="14.5">
      <c r="A100" s="45">
        <v>228110</v>
      </c>
      <c r="B100" s="46" t="s">
        <v>518</v>
      </c>
      <c r="C100" s="46" t="s">
        <v>514</v>
      </c>
      <c r="D100" s="46" t="s">
        <v>501</v>
      </c>
      <c r="E100" s="46" t="s">
        <v>501</v>
      </c>
      <c r="F100" s="46" t="s">
        <v>501</v>
      </c>
      <c r="G100" s="46" t="s">
        <v>519</v>
      </c>
      <c r="H100" s="46" t="s">
        <v>520</v>
      </c>
      <c r="I100" s="46" t="s">
        <v>796</v>
      </c>
      <c r="J100" s="46" t="s">
        <v>797</v>
      </c>
      <c r="K100" s="46" t="s">
        <v>711</v>
      </c>
      <c r="L100" s="5" t="s">
        <v>593</v>
      </c>
    </row>
    <row r="101" spans="1:12" ht="14.5">
      <c r="A101" s="45">
        <v>31614</v>
      </c>
      <c r="B101" s="46" t="s">
        <v>507</v>
      </c>
      <c r="C101" s="46" t="s">
        <v>500</v>
      </c>
      <c r="D101" s="46" t="s">
        <v>167</v>
      </c>
      <c r="E101" s="46" t="s">
        <v>169</v>
      </c>
      <c r="F101" s="46" t="s">
        <v>501</v>
      </c>
      <c r="G101" s="46" t="s">
        <v>508</v>
      </c>
      <c r="H101" s="46" t="s">
        <v>506</v>
      </c>
      <c r="I101" s="46" t="s">
        <v>798</v>
      </c>
      <c r="J101" s="46" t="s">
        <v>799</v>
      </c>
      <c r="K101" s="46" t="s">
        <v>799</v>
      </c>
      <c r="L101" s="5" t="s">
        <v>701</v>
      </c>
    </row>
    <row r="102" spans="1:12" ht="14.5">
      <c r="A102" s="45">
        <v>194180</v>
      </c>
      <c r="B102" s="46" t="s">
        <v>526</v>
      </c>
      <c r="C102" s="46" t="s">
        <v>514</v>
      </c>
      <c r="D102" s="46" t="s">
        <v>431</v>
      </c>
      <c r="E102" s="46" t="s">
        <v>501</v>
      </c>
      <c r="F102" s="46" t="s">
        <v>501</v>
      </c>
      <c r="G102" s="46" t="s">
        <v>510</v>
      </c>
      <c r="H102" s="46" t="s">
        <v>511</v>
      </c>
      <c r="I102" s="46" t="s">
        <v>800</v>
      </c>
      <c r="J102" s="46" t="s">
        <v>801</v>
      </c>
      <c r="K102" s="46" t="s">
        <v>667</v>
      </c>
      <c r="L102" s="5" t="s">
        <v>668</v>
      </c>
    </row>
    <row r="103" spans="1:12" ht="14.5">
      <c r="A103" s="45">
        <v>194180</v>
      </c>
      <c r="B103" s="46" t="s">
        <v>526</v>
      </c>
      <c r="C103" s="46" t="s">
        <v>514</v>
      </c>
      <c r="D103" s="46" t="s">
        <v>431</v>
      </c>
      <c r="E103" s="46" t="s">
        <v>501</v>
      </c>
      <c r="F103" s="46" t="s">
        <v>501</v>
      </c>
      <c r="G103" s="46" t="s">
        <v>510</v>
      </c>
      <c r="H103" s="46" t="s">
        <v>511</v>
      </c>
      <c r="I103" s="46" t="s">
        <v>802</v>
      </c>
      <c r="J103" s="46" t="s">
        <v>801</v>
      </c>
      <c r="K103" s="46" t="s">
        <v>667</v>
      </c>
      <c r="L103" s="5" t="s">
        <v>668</v>
      </c>
    </row>
    <row r="104" spans="1:12" ht="14.5">
      <c r="A104" s="45">
        <v>8679</v>
      </c>
      <c r="B104" s="46" t="s">
        <v>532</v>
      </c>
      <c r="C104" s="46" t="s">
        <v>514</v>
      </c>
      <c r="D104" s="46" t="s">
        <v>167</v>
      </c>
      <c r="E104" s="46" t="s">
        <v>169</v>
      </c>
      <c r="F104" s="46" t="s">
        <v>215</v>
      </c>
      <c r="G104" s="46" t="s">
        <v>508</v>
      </c>
      <c r="H104" s="46" t="s">
        <v>506</v>
      </c>
      <c r="I104" s="46" t="s">
        <v>803</v>
      </c>
      <c r="J104" s="46" t="s">
        <v>804</v>
      </c>
      <c r="K104" s="46" t="s">
        <v>620</v>
      </c>
      <c r="L104" s="47" t="s">
        <v>605</v>
      </c>
    </row>
    <row r="105" spans="1:12" ht="14.5">
      <c r="A105" s="45">
        <v>232488</v>
      </c>
      <c r="B105" s="46" t="s">
        <v>525</v>
      </c>
      <c r="C105" s="46" t="s">
        <v>514</v>
      </c>
      <c r="D105" s="46" t="s">
        <v>167</v>
      </c>
      <c r="E105" s="46" t="s">
        <v>169</v>
      </c>
      <c r="F105" s="46" t="s">
        <v>501</v>
      </c>
      <c r="G105" s="46" t="s">
        <v>539</v>
      </c>
      <c r="H105" s="46" t="s">
        <v>506</v>
      </c>
      <c r="I105" s="46" t="s">
        <v>805</v>
      </c>
      <c r="J105" s="46" t="s">
        <v>806</v>
      </c>
      <c r="K105" s="46" t="s">
        <v>671</v>
      </c>
      <c r="L105" s="5" t="s">
        <v>626</v>
      </c>
    </row>
    <row r="106" spans="1:12" ht="14.5">
      <c r="A106" s="45">
        <v>398317</v>
      </c>
      <c r="B106" s="46" t="s">
        <v>525</v>
      </c>
      <c r="C106" s="46" t="s">
        <v>514</v>
      </c>
      <c r="D106" s="46" t="s">
        <v>501</v>
      </c>
      <c r="E106" s="46" t="s">
        <v>501</v>
      </c>
      <c r="F106" s="46" t="s">
        <v>501</v>
      </c>
      <c r="G106" s="46" t="s">
        <v>519</v>
      </c>
      <c r="H106" s="46" t="s">
        <v>520</v>
      </c>
      <c r="I106" s="46" t="s">
        <v>807</v>
      </c>
      <c r="J106" s="46" t="s">
        <v>808</v>
      </c>
      <c r="K106" s="46" t="s">
        <v>745</v>
      </c>
      <c r="L106" s="5" t="s">
        <v>617</v>
      </c>
    </row>
    <row r="107" spans="1:12" ht="14.5">
      <c r="A107" s="45">
        <v>23855</v>
      </c>
      <c r="B107" s="46" t="s">
        <v>499</v>
      </c>
      <c r="C107" s="46" t="s">
        <v>500</v>
      </c>
      <c r="D107" s="46" t="s">
        <v>167</v>
      </c>
      <c r="E107" s="46" t="s">
        <v>169</v>
      </c>
      <c r="F107" s="46" t="s">
        <v>501</v>
      </c>
      <c r="G107" s="46" t="s">
        <v>533</v>
      </c>
      <c r="H107" s="46" t="s">
        <v>506</v>
      </c>
      <c r="I107" s="46" t="s">
        <v>809</v>
      </c>
      <c r="J107" s="46" t="s">
        <v>810</v>
      </c>
      <c r="K107" s="46" t="s">
        <v>708</v>
      </c>
      <c r="L107" s="5" t="s">
        <v>593</v>
      </c>
    </row>
    <row r="108" spans="1:12" ht="14.5">
      <c r="A108" s="45">
        <v>127213</v>
      </c>
      <c r="B108" s="46" t="s">
        <v>526</v>
      </c>
      <c r="C108" s="46" t="s">
        <v>514</v>
      </c>
      <c r="D108" s="46" t="s">
        <v>501</v>
      </c>
      <c r="E108" s="46" t="s">
        <v>501</v>
      </c>
      <c r="F108" s="46" t="s">
        <v>527</v>
      </c>
      <c r="G108" s="46" t="s">
        <v>528</v>
      </c>
      <c r="H108" s="46" t="s">
        <v>520</v>
      </c>
      <c r="I108" s="46" t="s">
        <v>811</v>
      </c>
      <c r="J108" s="46" t="s">
        <v>812</v>
      </c>
      <c r="K108" s="46" t="s">
        <v>661</v>
      </c>
      <c r="L108" s="5" t="s">
        <v>641</v>
      </c>
    </row>
    <row r="109" spans="1:12" ht="14.5">
      <c r="A109" s="45">
        <v>127213</v>
      </c>
      <c r="B109" s="46" t="s">
        <v>526</v>
      </c>
      <c r="C109" s="46" t="s">
        <v>514</v>
      </c>
      <c r="D109" s="46" t="s">
        <v>501</v>
      </c>
      <c r="E109" s="46" t="s">
        <v>501</v>
      </c>
      <c r="F109" s="46" t="s">
        <v>527</v>
      </c>
      <c r="G109" s="46" t="s">
        <v>528</v>
      </c>
      <c r="H109" s="46" t="s">
        <v>520</v>
      </c>
      <c r="I109" s="46" t="s">
        <v>813</v>
      </c>
      <c r="J109" s="46" t="s">
        <v>814</v>
      </c>
      <c r="K109" s="46" t="s">
        <v>634</v>
      </c>
      <c r="L109" s="5" t="s">
        <v>617</v>
      </c>
    </row>
    <row r="110" spans="1:12" ht="14.5">
      <c r="A110" s="45">
        <v>232488</v>
      </c>
      <c r="B110" s="46" t="s">
        <v>525</v>
      </c>
      <c r="C110" s="46" t="s">
        <v>514</v>
      </c>
      <c r="D110" s="46" t="s">
        <v>167</v>
      </c>
      <c r="E110" s="46" t="s">
        <v>169</v>
      </c>
      <c r="F110" s="46" t="s">
        <v>501</v>
      </c>
      <c r="G110" s="46" t="s">
        <v>539</v>
      </c>
      <c r="H110" s="46" t="s">
        <v>506</v>
      </c>
      <c r="I110" s="46" t="s">
        <v>815</v>
      </c>
      <c r="J110" s="46" t="s">
        <v>816</v>
      </c>
      <c r="K110" s="46" t="s">
        <v>634</v>
      </c>
      <c r="L110" s="5" t="s">
        <v>617</v>
      </c>
    </row>
    <row r="111" spans="1:12" ht="14.5">
      <c r="A111" s="45">
        <v>9878</v>
      </c>
      <c r="B111" s="46" t="s">
        <v>499</v>
      </c>
      <c r="C111" s="46" t="s">
        <v>500</v>
      </c>
      <c r="D111" s="46" t="s">
        <v>167</v>
      </c>
      <c r="E111" s="46" t="s">
        <v>169</v>
      </c>
      <c r="F111" s="46" t="s">
        <v>522</v>
      </c>
      <c r="G111" s="46" t="s">
        <v>515</v>
      </c>
      <c r="H111" s="46" t="s">
        <v>516</v>
      </c>
      <c r="I111" s="46" t="s">
        <v>817</v>
      </c>
      <c r="J111" s="46" t="s">
        <v>818</v>
      </c>
      <c r="K111" s="46" t="s">
        <v>819</v>
      </c>
      <c r="L111" s="47" t="s">
        <v>584</v>
      </c>
    </row>
    <row r="112" spans="1:12" ht="14.5">
      <c r="A112" s="45">
        <v>231273</v>
      </c>
      <c r="B112" s="46" t="s">
        <v>513</v>
      </c>
      <c r="C112" s="46" t="s">
        <v>514</v>
      </c>
      <c r="D112" s="46" t="s">
        <v>501</v>
      </c>
      <c r="E112" s="46" t="s">
        <v>521</v>
      </c>
      <c r="F112" s="46" t="s">
        <v>522</v>
      </c>
      <c r="G112" s="46" t="s">
        <v>523</v>
      </c>
      <c r="H112" s="46" t="s">
        <v>524</v>
      </c>
      <c r="I112" s="46" t="s">
        <v>820</v>
      </c>
      <c r="J112" s="46" t="s">
        <v>821</v>
      </c>
      <c r="K112" s="46" t="s">
        <v>822</v>
      </c>
      <c r="L112" s="5" t="s">
        <v>626</v>
      </c>
    </row>
    <row r="113" spans="1:12" ht="14.5">
      <c r="A113" s="45">
        <v>392860</v>
      </c>
      <c r="B113" s="46" t="s">
        <v>499</v>
      </c>
      <c r="C113" s="46" t="s">
        <v>500</v>
      </c>
      <c r="D113" s="46" t="s">
        <v>167</v>
      </c>
      <c r="E113" s="46" t="s">
        <v>501</v>
      </c>
      <c r="F113" s="46" t="s">
        <v>501</v>
      </c>
      <c r="G113" s="46" t="s">
        <v>519</v>
      </c>
      <c r="H113" s="46" t="s">
        <v>520</v>
      </c>
      <c r="I113" s="46" t="s">
        <v>823</v>
      </c>
      <c r="J113" s="46" t="s">
        <v>824</v>
      </c>
      <c r="K113" s="46" t="s">
        <v>694</v>
      </c>
      <c r="L113" s="5" t="s">
        <v>593</v>
      </c>
    </row>
    <row r="114" spans="1:12" ht="14.5">
      <c r="A114" s="45">
        <v>234758</v>
      </c>
      <c r="B114" s="46" t="s">
        <v>507</v>
      </c>
      <c r="C114" s="46" t="s">
        <v>500</v>
      </c>
      <c r="D114" s="46" t="s">
        <v>501</v>
      </c>
      <c r="E114" s="46" t="s">
        <v>169</v>
      </c>
      <c r="F114" s="46" t="s">
        <v>522</v>
      </c>
      <c r="G114" s="46" t="s">
        <v>510</v>
      </c>
      <c r="H114" s="46" t="s">
        <v>511</v>
      </c>
      <c r="I114" s="46" t="s">
        <v>825</v>
      </c>
      <c r="J114" s="46" t="s">
        <v>826</v>
      </c>
      <c r="K114" s="46" t="s">
        <v>826</v>
      </c>
      <c r="L114" s="47" t="s">
        <v>605</v>
      </c>
    </row>
    <row r="115" spans="1:12" ht="14.5">
      <c r="A115" s="45">
        <v>147937</v>
      </c>
      <c r="B115" s="46" t="s">
        <v>526</v>
      </c>
      <c r="C115" s="46" t="s">
        <v>514</v>
      </c>
      <c r="D115" s="46" t="s">
        <v>501</v>
      </c>
      <c r="E115" s="46" t="s">
        <v>501</v>
      </c>
      <c r="F115" s="46" t="s">
        <v>522</v>
      </c>
      <c r="G115" s="46" t="s">
        <v>510</v>
      </c>
      <c r="H115" s="46" t="s">
        <v>511</v>
      </c>
      <c r="I115" s="46" t="s">
        <v>827</v>
      </c>
      <c r="J115" s="46" t="s">
        <v>828</v>
      </c>
      <c r="K115" s="46" t="s">
        <v>829</v>
      </c>
      <c r="L115" s="5" t="s">
        <v>617</v>
      </c>
    </row>
    <row r="116" spans="1:12" ht="14.5">
      <c r="A116" s="45">
        <v>3017</v>
      </c>
      <c r="B116" s="46" t="s">
        <v>525</v>
      </c>
      <c r="C116" s="46" t="s">
        <v>514</v>
      </c>
      <c r="D116" s="46" t="s">
        <v>167</v>
      </c>
      <c r="E116" s="46" t="s">
        <v>501</v>
      </c>
      <c r="F116" s="46" t="s">
        <v>501</v>
      </c>
      <c r="G116" s="46" t="s">
        <v>519</v>
      </c>
      <c r="H116" s="46" t="s">
        <v>520</v>
      </c>
      <c r="I116" s="46" t="s">
        <v>830</v>
      </c>
      <c r="J116" s="46" t="s">
        <v>831</v>
      </c>
      <c r="K116" s="46" t="s">
        <v>634</v>
      </c>
      <c r="L116" s="5" t="s">
        <v>617</v>
      </c>
    </row>
    <row r="117" spans="1:12" ht="14.5">
      <c r="A117" s="45">
        <v>354302</v>
      </c>
      <c r="B117" s="46" t="s">
        <v>499</v>
      </c>
      <c r="C117" s="46" t="s">
        <v>500</v>
      </c>
      <c r="D117" s="46" t="s">
        <v>501</v>
      </c>
      <c r="E117" s="46" t="s">
        <v>501</v>
      </c>
      <c r="F117" s="46" t="s">
        <v>501</v>
      </c>
      <c r="G117" s="46" t="s">
        <v>530</v>
      </c>
      <c r="H117" s="46" t="s">
        <v>524</v>
      </c>
      <c r="I117" s="46" t="s">
        <v>832</v>
      </c>
      <c r="J117" s="46" t="s">
        <v>833</v>
      </c>
      <c r="K117" s="46" t="s">
        <v>587</v>
      </c>
      <c r="L117" s="47" t="s">
        <v>584</v>
      </c>
    </row>
    <row r="118" spans="1:12" ht="14.5">
      <c r="A118" s="45">
        <v>228110</v>
      </c>
      <c r="B118" s="46" t="s">
        <v>518</v>
      </c>
      <c r="C118" s="46" t="s">
        <v>514</v>
      </c>
      <c r="D118" s="46" t="s">
        <v>501</v>
      </c>
      <c r="E118" s="46" t="s">
        <v>501</v>
      </c>
      <c r="F118" s="46" t="s">
        <v>501</v>
      </c>
      <c r="G118" s="46" t="s">
        <v>519</v>
      </c>
      <c r="H118" s="46" t="s">
        <v>520</v>
      </c>
      <c r="I118" s="46" t="s">
        <v>834</v>
      </c>
      <c r="J118" s="46" t="s">
        <v>835</v>
      </c>
      <c r="K118" s="46" t="s">
        <v>711</v>
      </c>
      <c r="L118" s="5" t="s">
        <v>593</v>
      </c>
    </row>
    <row r="119" spans="1:12" ht="14.5">
      <c r="A119" s="45">
        <v>25714</v>
      </c>
      <c r="B119" s="46" t="s">
        <v>509</v>
      </c>
      <c r="C119" s="46" t="s">
        <v>500</v>
      </c>
      <c r="D119" s="46" t="s">
        <v>167</v>
      </c>
      <c r="E119" s="46" t="s">
        <v>289</v>
      </c>
      <c r="F119" s="46" t="s">
        <v>501</v>
      </c>
      <c r="G119" s="46" t="s">
        <v>510</v>
      </c>
      <c r="H119" s="46" t="s">
        <v>511</v>
      </c>
      <c r="I119" s="46" t="s">
        <v>836</v>
      </c>
      <c r="J119" s="46" t="s">
        <v>837</v>
      </c>
      <c r="K119" s="46" t="s">
        <v>838</v>
      </c>
      <c r="L119" s="47" t="s">
        <v>584</v>
      </c>
    </row>
    <row r="120" spans="1:12" ht="14.5">
      <c r="A120" s="45">
        <v>25714</v>
      </c>
      <c r="B120" s="46" t="s">
        <v>509</v>
      </c>
      <c r="C120" s="46" t="s">
        <v>500</v>
      </c>
      <c r="D120" s="46" t="s">
        <v>167</v>
      </c>
      <c r="E120" s="46" t="s">
        <v>289</v>
      </c>
      <c r="F120" s="46" t="s">
        <v>501</v>
      </c>
      <c r="G120" s="46" t="s">
        <v>510</v>
      </c>
      <c r="H120" s="46" t="s">
        <v>511</v>
      </c>
      <c r="I120" s="46" t="s">
        <v>839</v>
      </c>
      <c r="J120" s="46" t="s">
        <v>837</v>
      </c>
      <c r="K120" s="46" t="s">
        <v>838</v>
      </c>
      <c r="L120" s="47" t="s">
        <v>584</v>
      </c>
    </row>
    <row r="121" spans="1:12" ht="14.5">
      <c r="A121" s="45">
        <v>147937</v>
      </c>
      <c r="B121" s="46" t="s">
        <v>526</v>
      </c>
      <c r="C121" s="46" t="s">
        <v>514</v>
      </c>
      <c r="D121" s="46" t="s">
        <v>501</v>
      </c>
      <c r="E121" s="46" t="s">
        <v>501</v>
      </c>
      <c r="F121" s="46" t="s">
        <v>522</v>
      </c>
      <c r="G121" s="46" t="s">
        <v>510</v>
      </c>
      <c r="H121" s="46" t="s">
        <v>511</v>
      </c>
      <c r="I121" s="46" t="s">
        <v>840</v>
      </c>
      <c r="J121" s="46" t="s">
        <v>841</v>
      </c>
      <c r="K121" s="46" t="s">
        <v>842</v>
      </c>
      <c r="L121" s="5" t="s">
        <v>626</v>
      </c>
    </row>
    <row r="122" spans="1:12" ht="14.5">
      <c r="A122" s="45">
        <v>8679</v>
      </c>
      <c r="B122" s="46" t="s">
        <v>532</v>
      </c>
      <c r="C122" s="46" t="s">
        <v>514</v>
      </c>
      <c r="D122" s="46" t="s">
        <v>167</v>
      </c>
      <c r="E122" s="46" t="s">
        <v>169</v>
      </c>
      <c r="F122" s="46" t="s">
        <v>215</v>
      </c>
      <c r="G122" s="46" t="s">
        <v>508</v>
      </c>
      <c r="H122" s="46" t="s">
        <v>506</v>
      </c>
      <c r="I122" s="46" t="s">
        <v>843</v>
      </c>
      <c r="J122" s="46" t="s">
        <v>844</v>
      </c>
      <c r="K122" s="46" t="s">
        <v>842</v>
      </c>
      <c r="L122" s="5" t="s">
        <v>626</v>
      </c>
    </row>
    <row r="123" spans="1:12" ht="14.5">
      <c r="A123" s="45">
        <v>315641</v>
      </c>
      <c r="B123" s="46" t="s">
        <v>509</v>
      </c>
      <c r="C123" s="46" t="s">
        <v>500</v>
      </c>
      <c r="D123" s="46" t="s">
        <v>167</v>
      </c>
      <c r="E123" s="46" t="s">
        <v>169</v>
      </c>
      <c r="F123" s="46" t="s">
        <v>501</v>
      </c>
      <c r="G123" s="46" t="s">
        <v>508</v>
      </c>
      <c r="H123" s="46" t="s">
        <v>506</v>
      </c>
      <c r="I123" s="46" t="s">
        <v>845</v>
      </c>
      <c r="J123" s="46" t="s">
        <v>846</v>
      </c>
      <c r="K123" s="46" t="s">
        <v>640</v>
      </c>
      <c r="L123" s="5" t="s">
        <v>641</v>
      </c>
    </row>
    <row r="124" spans="1:12" ht="14.5">
      <c r="A124" s="45">
        <v>8679</v>
      </c>
      <c r="B124" s="46" t="s">
        <v>532</v>
      </c>
      <c r="C124" s="46" t="s">
        <v>514</v>
      </c>
      <c r="D124" s="46" t="s">
        <v>167</v>
      </c>
      <c r="E124" s="46" t="s">
        <v>169</v>
      </c>
      <c r="F124" s="46" t="s">
        <v>215</v>
      </c>
      <c r="G124" s="46" t="s">
        <v>508</v>
      </c>
      <c r="H124" s="46" t="s">
        <v>506</v>
      </c>
      <c r="I124" s="46" t="s">
        <v>847</v>
      </c>
      <c r="J124" s="46" t="s">
        <v>848</v>
      </c>
      <c r="K124" s="46" t="s">
        <v>822</v>
      </c>
      <c r="L124" s="5" t="s">
        <v>626</v>
      </c>
    </row>
    <row r="125" spans="1:12" ht="14.5">
      <c r="A125" s="45">
        <v>31666</v>
      </c>
      <c r="B125" s="46" t="s">
        <v>499</v>
      </c>
      <c r="C125" s="46" t="s">
        <v>500</v>
      </c>
      <c r="D125" s="46" t="s">
        <v>167</v>
      </c>
      <c r="E125" s="46" t="s">
        <v>289</v>
      </c>
      <c r="F125" s="46" t="s">
        <v>501</v>
      </c>
      <c r="G125" s="46" t="s">
        <v>533</v>
      </c>
      <c r="H125" s="46" t="s">
        <v>506</v>
      </c>
      <c r="I125" s="46" t="s">
        <v>849</v>
      </c>
      <c r="J125" s="46" t="s">
        <v>620</v>
      </c>
      <c r="K125" s="46" t="s">
        <v>620</v>
      </c>
      <c r="L125" s="47" t="s">
        <v>605</v>
      </c>
    </row>
    <row r="126" spans="1:12" ht="14.5">
      <c r="A126" s="45">
        <v>8679</v>
      </c>
      <c r="B126" s="46" t="s">
        <v>532</v>
      </c>
      <c r="C126" s="46" t="s">
        <v>514</v>
      </c>
      <c r="D126" s="46" t="s">
        <v>167</v>
      </c>
      <c r="E126" s="46" t="s">
        <v>169</v>
      </c>
      <c r="F126" s="46" t="s">
        <v>215</v>
      </c>
      <c r="G126" s="46" t="s">
        <v>508</v>
      </c>
      <c r="H126" s="46" t="s">
        <v>506</v>
      </c>
      <c r="I126" s="46" t="s">
        <v>850</v>
      </c>
      <c r="J126" s="46" t="s">
        <v>851</v>
      </c>
      <c r="K126" s="46" t="s">
        <v>620</v>
      </c>
      <c r="L126" s="47" t="s">
        <v>605</v>
      </c>
    </row>
    <row r="127" spans="1:12" ht="14.5">
      <c r="A127" s="45">
        <v>7953</v>
      </c>
      <c r="B127" s="46" t="s">
        <v>499</v>
      </c>
      <c r="C127" s="46" t="s">
        <v>500</v>
      </c>
      <c r="D127" s="46" t="s">
        <v>167</v>
      </c>
      <c r="E127" s="46" t="s">
        <v>169</v>
      </c>
      <c r="F127" s="46" t="s">
        <v>501</v>
      </c>
      <c r="G127" s="46" t="s">
        <v>530</v>
      </c>
      <c r="H127" s="46" t="s">
        <v>524</v>
      </c>
      <c r="I127" s="46" t="s">
        <v>852</v>
      </c>
      <c r="J127" s="46" t="s">
        <v>853</v>
      </c>
      <c r="K127" s="46" t="s">
        <v>853</v>
      </c>
      <c r="L127" s="5" t="s">
        <v>626</v>
      </c>
    </row>
    <row r="128" spans="1:12" ht="14.5">
      <c r="A128" s="45">
        <v>25714</v>
      </c>
      <c r="B128" s="46" t="s">
        <v>509</v>
      </c>
      <c r="C128" s="46" t="s">
        <v>500</v>
      </c>
      <c r="D128" s="46" t="s">
        <v>167</v>
      </c>
      <c r="E128" s="46" t="s">
        <v>289</v>
      </c>
      <c r="F128" s="46" t="s">
        <v>501</v>
      </c>
      <c r="G128" s="46" t="s">
        <v>510</v>
      </c>
      <c r="H128" s="46" t="s">
        <v>511</v>
      </c>
      <c r="I128" s="46" t="s">
        <v>854</v>
      </c>
      <c r="J128" s="46" t="s">
        <v>855</v>
      </c>
      <c r="K128" s="46" t="s">
        <v>667</v>
      </c>
      <c r="L128" s="5" t="s">
        <v>668</v>
      </c>
    </row>
    <row r="129" spans="1:12" ht="14.5">
      <c r="A129" s="45">
        <v>127213</v>
      </c>
      <c r="B129" s="46" t="s">
        <v>526</v>
      </c>
      <c r="C129" s="46" t="s">
        <v>514</v>
      </c>
      <c r="D129" s="46" t="s">
        <v>501</v>
      </c>
      <c r="E129" s="46" t="s">
        <v>501</v>
      </c>
      <c r="F129" s="46" t="s">
        <v>527</v>
      </c>
      <c r="G129" s="46" t="s">
        <v>528</v>
      </c>
      <c r="H129" s="46" t="s">
        <v>520</v>
      </c>
      <c r="I129" s="46" t="s">
        <v>856</v>
      </c>
      <c r="J129" s="46" t="s">
        <v>857</v>
      </c>
      <c r="K129" s="46" t="s">
        <v>857</v>
      </c>
      <c r="L129" s="5" t="s">
        <v>668</v>
      </c>
    </row>
    <row r="130" spans="1:12" ht="14.5">
      <c r="A130" s="45">
        <v>147937</v>
      </c>
      <c r="B130" s="46" t="s">
        <v>526</v>
      </c>
      <c r="C130" s="46" t="s">
        <v>514</v>
      </c>
      <c r="D130" s="46" t="s">
        <v>501</v>
      </c>
      <c r="E130" s="46" t="s">
        <v>501</v>
      </c>
      <c r="F130" s="46" t="s">
        <v>522</v>
      </c>
      <c r="G130" s="46" t="s">
        <v>510</v>
      </c>
      <c r="H130" s="46" t="s">
        <v>511</v>
      </c>
      <c r="I130" s="46" t="s">
        <v>858</v>
      </c>
      <c r="J130" s="46" t="s">
        <v>859</v>
      </c>
      <c r="K130" s="46" t="s">
        <v>860</v>
      </c>
      <c r="L130" s="5" t="s">
        <v>668</v>
      </c>
    </row>
    <row r="131" spans="1:12" ht="14.5">
      <c r="A131" s="45">
        <v>147937</v>
      </c>
      <c r="B131" s="46" t="s">
        <v>526</v>
      </c>
      <c r="C131" s="46" t="s">
        <v>514</v>
      </c>
      <c r="D131" s="46" t="s">
        <v>501</v>
      </c>
      <c r="E131" s="46" t="s">
        <v>501</v>
      </c>
      <c r="F131" s="46" t="s">
        <v>522</v>
      </c>
      <c r="G131" s="46" t="s">
        <v>510</v>
      </c>
      <c r="H131" s="46" t="s">
        <v>511</v>
      </c>
      <c r="I131" s="46" t="s">
        <v>861</v>
      </c>
      <c r="J131" s="46" t="s">
        <v>862</v>
      </c>
      <c r="K131" s="46" t="s">
        <v>863</v>
      </c>
      <c r="L131" s="5" t="s">
        <v>668</v>
      </c>
    </row>
    <row r="132" spans="1:12" ht="14.5">
      <c r="A132" s="45">
        <v>354302</v>
      </c>
      <c r="B132" s="46" t="s">
        <v>499</v>
      </c>
      <c r="C132" s="46" t="s">
        <v>500</v>
      </c>
      <c r="D132" s="46" t="s">
        <v>501</v>
      </c>
      <c r="E132" s="46" t="s">
        <v>501</v>
      </c>
      <c r="F132" s="46" t="s">
        <v>501</v>
      </c>
      <c r="G132" s="46" t="s">
        <v>530</v>
      </c>
      <c r="H132" s="46" t="s">
        <v>524</v>
      </c>
      <c r="I132" s="46" t="s">
        <v>864</v>
      </c>
      <c r="J132" s="46" t="s">
        <v>865</v>
      </c>
      <c r="K132" s="46" t="s">
        <v>587</v>
      </c>
      <c r="L132" s="47" t="s">
        <v>584</v>
      </c>
    </row>
    <row r="133" spans="1:12" ht="14.5">
      <c r="A133" s="45">
        <v>8679</v>
      </c>
      <c r="B133" s="46" t="s">
        <v>532</v>
      </c>
      <c r="C133" s="46" t="s">
        <v>514</v>
      </c>
      <c r="D133" s="46" t="s">
        <v>167</v>
      </c>
      <c r="E133" s="46" t="s">
        <v>169</v>
      </c>
      <c r="F133" s="46" t="s">
        <v>215</v>
      </c>
      <c r="G133" s="46" t="s">
        <v>508</v>
      </c>
      <c r="H133" s="46" t="s">
        <v>506</v>
      </c>
      <c r="I133" s="46" t="s">
        <v>866</v>
      </c>
      <c r="J133" s="46" t="s">
        <v>867</v>
      </c>
      <c r="K133" s="46" t="s">
        <v>678</v>
      </c>
      <c r="L133" s="5" t="s">
        <v>641</v>
      </c>
    </row>
    <row r="134" spans="1:12" ht="14.5">
      <c r="A134" s="45">
        <v>127213</v>
      </c>
      <c r="B134" s="46" t="s">
        <v>526</v>
      </c>
      <c r="C134" s="46" t="s">
        <v>514</v>
      </c>
      <c r="D134" s="46" t="s">
        <v>501</v>
      </c>
      <c r="E134" s="46" t="s">
        <v>501</v>
      </c>
      <c r="F134" s="46" t="s">
        <v>527</v>
      </c>
      <c r="G134" s="46" t="s">
        <v>528</v>
      </c>
      <c r="H134" s="46" t="s">
        <v>520</v>
      </c>
      <c r="I134" s="46" t="s">
        <v>868</v>
      </c>
      <c r="J134" s="46" t="s">
        <v>869</v>
      </c>
      <c r="K134" s="46" t="s">
        <v>869</v>
      </c>
      <c r="L134" s="5" t="s">
        <v>641</v>
      </c>
    </row>
    <row r="135" spans="1:12" ht="14.5">
      <c r="A135" s="45">
        <v>315641</v>
      </c>
      <c r="B135" s="46" t="s">
        <v>509</v>
      </c>
      <c r="C135" s="46" t="s">
        <v>500</v>
      </c>
      <c r="D135" s="46" t="s">
        <v>167</v>
      </c>
      <c r="E135" s="46" t="s">
        <v>169</v>
      </c>
      <c r="F135" s="46" t="s">
        <v>501</v>
      </c>
      <c r="G135" s="46" t="s">
        <v>508</v>
      </c>
      <c r="H135" s="46" t="s">
        <v>506</v>
      </c>
      <c r="I135" s="46" t="s">
        <v>870</v>
      </c>
      <c r="J135" s="46" t="s">
        <v>871</v>
      </c>
      <c r="K135" s="46" t="s">
        <v>869</v>
      </c>
      <c r="L135" s="5" t="s">
        <v>641</v>
      </c>
    </row>
    <row r="136" spans="1:12" ht="14.5">
      <c r="A136" s="45">
        <v>3017</v>
      </c>
      <c r="B136" s="46" t="s">
        <v>525</v>
      </c>
      <c r="C136" s="46" t="s">
        <v>514</v>
      </c>
      <c r="D136" s="46" t="s">
        <v>167</v>
      </c>
      <c r="E136" s="46" t="s">
        <v>501</v>
      </c>
      <c r="F136" s="46" t="s">
        <v>501</v>
      </c>
      <c r="G136" s="46" t="s">
        <v>519</v>
      </c>
      <c r="H136" s="46" t="s">
        <v>520</v>
      </c>
      <c r="I136" s="46" t="s">
        <v>872</v>
      </c>
      <c r="J136" s="46" t="s">
        <v>873</v>
      </c>
      <c r="K136" s="46" t="s">
        <v>873</v>
      </c>
      <c r="L136" s="5" t="s">
        <v>701</v>
      </c>
    </row>
    <row r="137" spans="1:12" ht="14.5">
      <c r="A137" s="45">
        <v>240325</v>
      </c>
      <c r="B137" s="46" t="s">
        <v>513</v>
      </c>
      <c r="C137" s="46" t="s">
        <v>514</v>
      </c>
      <c r="D137" s="46" t="s">
        <v>167</v>
      </c>
      <c r="E137" s="46" t="s">
        <v>289</v>
      </c>
      <c r="F137" s="46" t="s">
        <v>501</v>
      </c>
      <c r="G137" s="46" t="s">
        <v>515</v>
      </c>
      <c r="H137" s="46" t="s">
        <v>516</v>
      </c>
      <c r="I137" s="46" t="s">
        <v>874</v>
      </c>
      <c r="J137" s="46" t="s">
        <v>875</v>
      </c>
      <c r="K137" s="46" t="s">
        <v>661</v>
      </c>
      <c r="L137" s="5" t="s">
        <v>641</v>
      </c>
    </row>
    <row r="138" spans="1:12" ht="14.5">
      <c r="A138" s="45">
        <v>31614</v>
      </c>
      <c r="B138" s="46" t="s">
        <v>507</v>
      </c>
      <c r="C138" s="46" t="s">
        <v>500</v>
      </c>
      <c r="D138" s="46" t="s">
        <v>167</v>
      </c>
      <c r="E138" s="46" t="s">
        <v>169</v>
      </c>
      <c r="F138" s="46" t="s">
        <v>501</v>
      </c>
      <c r="G138" s="46" t="s">
        <v>508</v>
      </c>
      <c r="H138" s="46" t="s">
        <v>506</v>
      </c>
      <c r="I138" s="46" t="s">
        <v>876</v>
      </c>
      <c r="J138" s="46" t="s">
        <v>877</v>
      </c>
      <c r="K138" s="46" t="s">
        <v>878</v>
      </c>
      <c r="L138" s="5" t="s">
        <v>701</v>
      </c>
    </row>
    <row r="139" spans="1:12" ht="14.5">
      <c r="A139" s="45">
        <v>8679</v>
      </c>
      <c r="B139" s="46" t="s">
        <v>532</v>
      </c>
      <c r="C139" s="46" t="s">
        <v>514</v>
      </c>
      <c r="D139" s="46" t="s">
        <v>167</v>
      </c>
      <c r="E139" s="46" t="s">
        <v>169</v>
      </c>
      <c r="F139" s="46" t="s">
        <v>215</v>
      </c>
      <c r="G139" s="46" t="s">
        <v>508</v>
      </c>
      <c r="H139" s="46" t="s">
        <v>506</v>
      </c>
      <c r="I139" s="46" t="s">
        <v>879</v>
      </c>
      <c r="J139" s="46" t="s">
        <v>880</v>
      </c>
      <c r="K139" s="46" t="s">
        <v>881</v>
      </c>
      <c r="L139" s="47" t="s">
        <v>605</v>
      </c>
    </row>
    <row r="140" spans="1:12" ht="14.5">
      <c r="A140" s="45">
        <v>231273</v>
      </c>
      <c r="B140" s="46" t="s">
        <v>513</v>
      </c>
      <c r="C140" s="46" t="s">
        <v>514</v>
      </c>
      <c r="D140" s="46" t="s">
        <v>501</v>
      </c>
      <c r="E140" s="46" t="s">
        <v>521</v>
      </c>
      <c r="F140" s="46" t="s">
        <v>522</v>
      </c>
      <c r="G140" s="46" t="s">
        <v>523</v>
      </c>
      <c r="H140" s="46" t="s">
        <v>524</v>
      </c>
      <c r="I140" s="46" t="s">
        <v>882</v>
      </c>
      <c r="J140" s="46" t="s">
        <v>883</v>
      </c>
      <c r="K140" s="46" t="s">
        <v>822</v>
      </c>
      <c r="L140" s="5" t="s">
        <v>626</v>
      </c>
    </row>
    <row r="141" spans="1:12" ht="14.5">
      <c r="A141" s="45">
        <v>194180</v>
      </c>
      <c r="B141" s="46" t="s">
        <v>526</v>
      </c>
      <c r="C141" s="46" t="s">
        <v>514</v>
      </c>
      <c r="D141" s="46" t="s">
        <v>431</v>
      </c>
      <c r="E141" s="46" t="s">
        <v>501</v>
      </c>
      <c r="F141" s="46" t="s">
        <v>501</v>
      </c>
      <c r="G141" s="46" t="s">
        <v>510</v>
      </c>
      <c r="H141" s="46" t="s">
        <v>511</v>
      </c>
      <c r="I141" s="46" t="s">
        <v>884</v>
      </c>
      <c r="J141" s="46" t="s">
        <v>885</v>
      </c>
      <c r="K141" s="46" t="s">
        <v>822</v>
      </c>
      <c r="L141" s="5" t="s">
        <v>626</v>
      </c>
    </row>
    <row r="142" spans="1:12" ht="14.5">
      <c r="A142" s="45">
        <v>147937</v>
      </c>
      <c r="B142" s="46" t="s">
        <v>526</v>
      </c>
      <c r="C142" s="46" t="s">
        <v>514</v>
      </c>
      <c r="D142" s="46" t="s">
        <v>501</v>
      </c>
      <c r="E142" s="46" t="s">
        <v>501</v>
      </c>
      <c r="F142" s="46" t="s">
        <v>522</v>
      </c>
      <c r="G142" s="46" t="s">
        <v>510</v>
      </c>
      <c r="H142" s="46" t="s">
        <v>511</v>
      </c>
      <c r="I142" s="46" t="s">
        <v>886</v>
      </c>
      <c r="J142" s="46" t="s">
        <v>885</v>
      </c>
      <c r="K142" s="46" t="s">
        <v>822</v>
      </c>
      <c r="L142" s="5" t="s">
        <v>626</v>
      </c>
    </row>
    <row r="143" spans="1:12" ht="14.5">
      <c r="A143" s="45">
        <v>25714</v>
      </c>
      <c r="B143" s="46" t="s">
        <v>509</v>
      </c>
      <c r="C143" s="46" t="s">
        <v>500</v>
      </c>
      <c r="D143" s="46" t="s">
        <v>167</v>
      </c>
      <c r="E143" s="46" t="s">
        <v>289</v>
      </c>
      <c r="F143" s="46" t="s">
        <v>501</v>
      </c>
      <c r="G143" s="46" t="s">
        <v>510</v>
      </c>
      <c r="H143" s="46" t="s">
        <v>511</v>
      </c>
      <c r="I143" s="46" t="s">
        <v>887</v>
      </c>
      <c r="J143" s="46" t="s">
        <v>888</v>
      </c>
      <c r="K143" s="46" t="s">
        <v>822</v>
      </c>
      <c r="L143" s="5" t="s">
        <v>626</v>
      </c>
    </row>
    <row r="144" spans="1:12" ht="14.5">
      <c r="A144" s="45">
        <v>27494</v>
      </c>
      <c r="B144" s="46" t="s">
        <v>526</v>
      </c>
      <c r="C144" s="46" t="s">
        <v>514</v>
      </c>
      <c r="D144" s="46" t="s">
        <v>501</v>
      </c>
      <c r="E144" s="46" t="s">
        <v>289</v>
      </c>
      <c r="F144" s="46" t="s">
        <v>501</v>
      </c>
      <c r="G144" s="46" t="s">
        <v>541</v>
      </c>
      <c r="H144" s="46" t="s">
        <v>524</v>
      </c>
      <c r="I144" s="46" t="s">
        <v>889</v>
      </c>
      <c r="J144" s="46" t="s">
        <v>890</v>
      </c>
      <c r="K144" s="46" t="s">
        <v>822</v>
      </c>
      <c r="L144" s="5" t="s">
        <v>626</v>
      </c>
    </row>
    <row r="145" spans="1:12" ht="14.5">
      <c r="A145" s="45">
        <v>354302</v>
      </c>
      <c r="B145" s="46" t="s">
        <v>499</v>
      </c>
      <c r="C145" s="46" t="s">
        <v>500</v>
      </c>
      <c r="D145" s="46" t="s">
        <v>501</v>
      </c>
      <c r="E145" s="46" t="s">
        <v>501</v>
      </c>
      <c r="F145" s="46" t="s">
        <v>501</v>
      </c>
      <c r="G145" s="46" t="s">
        <v>530</v>
      </c>
      <c r="H145" s="46" t="s">
        <v>524</v>
      </c>
      <c r="I145" s="46" t="s">
        <v>891</v>
      </c>
      <c r="J145" s="46" t="s">
        <v>892</v>
      </c>
      <c r="K145" s="46" t="s">
        <v>652</v>
      </c>
      <c r="L145" s="5" t="s">
        <v>617</v>
      </c>
    </row>
    <row r="146" spans="1:12" ht="14.5">
      <c r="A146" s="45">
        <v>354302</v>
      </c>
      <c r="B146" s="46" t="s">
        <v>499</v>
      </c>
      <c r="C146" s="46" t="s">
        <v>500</v>
      </c>
      <c r="D146" s="46" t="s">
        <v>501</v>
      </c>
      <c r="E146" s="46" t="s">
        <v>501</v>
      </c>
      <c r="F146" s="46" t="s">
        <v>501</v>
      </c>
      <c r="G146" s="46" t="s">
        <v>530</v>
      </c>
      <c r="H146" s="46" t="s">
        <v>524</v>
      </c>
      <c r="I146" s="46" t="s">
        <v>893</v>
      </c>
      <c r="J146" s="46" t="s">
        <v>894</v>
      </c>
      <c r="K146" s="46" t="s">
        <v>894</v>
      </c>
      <c r="L146" s="5" t="s">
        <v>593</v>
      </c>
    </row>
    <row r="147" spans="1:12" ht="14.5">
      <c r="A147" s="45">
        <v>3017</v>
      </c>
      <c r="B147" s="46" t="s">
        <v>525</v>
      </c>
      <c r="C147" s="46" t="s">
        <v>514</v>
      </c>
      <c r="D147" s="46" t="s">
        <v>167</v>
      </c>
      <c r="E147" s="46" t="s">
        <v>501</v>
      </c>
      <c r="F147" s="46" t="s">
        <v>501</v>
      </c>
      <c r="G147" s="46" t="s">
        <v>519</v>
      </c>
      <c r="H147" s="46" t="s">
        <v>520</v>
      </c>
      <c r="I147" s="46" t="s">
        <v>895</v>
      </c>
      <c r="J147" s="46" t="s">
        <v>896</v>
      </c>
      <c r="K147" s="46" t="s">
        <v>897</v>
      </c>
      <c r="L147" s="5" t="s">
        <v>701</v>
      </c>
    </row>
    <row r="148" spans="1:12" ht="14.5">
      <c r="A148" s="45">
        <v>25637</v>
      </c>
      <c r="B148" s="46" t="s">
        <v>499</v>
      </c>
      <c r="C148" s="46" t="s">
        <v>500</v>
      </c>
      <c r="D148" s="46" t="s">
        <v>501</v>
      </c>
      <c r="E148" s="46" t="s">
        <v>289</v>
      </c>
      <c r="F148" s="46" t="s">
        <v>501</v>
      </c>
      <c r="G148" s="46" t="s">
        <v>502</v>
      </c>
      <c r="H148" s="46" t="s">
        <v>503</v>
      </c>
      <c r="I148" s="46" t="s">
        <v>898</v>
      </c>
      <c r="J148" s="46" t="s">
        <v>899</v>
      </c>
      <c r="K148" s="46" t="s">
        <v>771</v>
      </c>
      <c r="L148" s="5" t="s">
        <v>641</v>
      </c>
    </row>
    <row r="149" spans="1:12" ht="14.5">
      <c r="A149" s="45">
        <v>25637</v>
      </c>
      <c r="B149" s="46" t="s">
        <v>499</v>
      </c>
      <c r="C149" s="46" t="s">
        <v>500</v>
      </c>
      <c r="D149" s="46" t="s">
        <v>501</v>
      </c>
      <c r="E149" s="46" t="s">
        <v>289</v>
      </c>
      <c r="F149" s="46" t="s">
        <v>501</v>
      </c>
      <c r="G149" s="46" t="s">
        <v>502</v>
      </c>
      <c r="H149" s="46" t="s">
        <v>503</v>
      </c>
      <c r="I149" s="46" t="s">
        <v>900</v>
      </c>
      <c r="J149" s="46" t="s">
        <v>899</v>
      </c>
      <c r="K149" s="46" t="s">
        <v>771</v>
      </c>
      <c r="L149" s="5" t="s">
        <v>641</v>
      </c>
    </row>
    <row r="150" spans="1:12" ht="14.5">
      <c r="A150" s="45">
        <v>25637</v>
      </c>
      <c r="B150" s="46" t="s">
        <v>499</v>
      </c>
      <c r="C150" s="46" t="s">
        <v>500</v>
      </c>
      <c r="D150" s="46" t="s">
        <v>501</v>
      </c>
      <c r="E150" s="46" t="s">
        <v>289</v>
      </c>
      <c r="F150" s="46" t="s">
        <v>501</v>
      </c>
      <c r="G150" s="46" t="s">
        <v>502</v>
      </c>
      <c r="H150" s="46" t="s">
        <v>503</v>
      </c>
      <c r="I150" s="46" t="s">
        <v>901</v>
      </c>
      <c r="J150" s="46" t="s">
        <v>902</v>
      </c>
      <c r="K150" s="46" t="s">
        <v>661</v>
      </c>
      <c r="L150" s="5" t="s">
        <v>641</v>
      </c>
    </row>
    <row r="151" spans="1:12" ht="14.5">
      <c r="A151" s="45">
        <v>31614</v>
      </c>
      <c r="B151" s="46" t="s">
        <v>507</v>
      </c>
      <c r="C151" s="46" t="s">
        <v>500</v>
      </c>
      <c r="D151" s="46" t="s">
        <v>167</v>
      </c>
      <c r="E151" s="46" t="s">
        <v>169</v>
      </c>
      <c r="F151" s="46" t="s">
        <v>501</v>
      </c>
      <c r="G151" s="46" t="s">
        <v>508</v>
      </c>
      <c r="H151" s="46" t="s">
        <v>506</v>
      </c>
      <c r="I151" s="46" t="s">
        <v>903</v>
      </c>
      <c r="J151" s="46" t="s">
        <v>904</v>
      </c>
      <c r="K151" s="46" t="s">
        <v>897</v>
      </c>
      <c r="L151" s="5" t="s">
        <v>701</v>
      </c>
    </row>
    <row r="152" spans="1:12" ht="14.5">
      <c r="A152" s="45">
        <v>231273</v>
      </c>
      <c r="B152" s="46" t="s">
        <v>513</v>
      </c>
      <c r="C152" s="46" t="s">
        <v>514</v>
      </c>
      <c r="D152" s="46" t="s">
        <v>501</v>
      </c>
      <c r="E152" s="46" t="s">
        <v>521</v>
      </c>
      <c r="F152" s="46" t="s">
        <v>522</v>
      </c>
      <c r="G152" s="46" t="s">
        <v>523</v>
      </c>
      <c r="H152" s="46" t="s">
        <v>524</v>
      </c>
      <c r="I152" s="46" t="s">
        <v>905</v>
      </c>
      <c r="J152" s="46" t="s">
        <v>906</v>
      </c>
      <c r="K152" s="46" t="s">
        <v>906</v>
      </c>
      <c r="L152" s="5" t="s">
        <v>626</v>
      </c>
    </row>
    <row r="153" spans="1:12" ht="14.5">
      <c r="A153" s="45">
        <v>8679</v>
      </c>
      <c r="B153" s="46" t="s">
        <v>532</v>
      </c>
      <c r="C153" s="46" t="s">
        <v>514</v>
      </c>
      <c r="D153" s="46" t="s">
        <v>167</v>
      </c>
      <c r="E153" s="46" t="s">
        <v>169</v>
      </c>
      <c r="F153" s="46" t="s">
        <v>215</v>
      </c>
      <c r="G153" s="46" t="s">
        <v>508</v>
      </c>
      <c r="H153" s="46" t="s">
        <v>506</v>
      </c>
      <c r="I153" s="46" t="s">
        <v>907</v>
      </c>
      <c r="J153" s="46" t="s">
        <v>908</v>
      </c>
      <c r="K153" s="46" t="s">
        <v>863</v>
      </c>
      <c r="L153" s="5" t="s">
        <v>668</v>
      </c>
    </row>
    <row r="154" spans="1:12" ht="14.5">
      <c r="A154" s="45">
        <v>14189</v>
      </c>
      <c r="B154" s="46" t="s">
        <v>525</v>
      </c>
      <c r="C154" s="46" t="s">
        <v>514</v>
      </c>
      <c r="D154" s="46" t="s">
        <v>167</v>
      </c>
      <c r="E154" s="46" t="s">
        <v>501</v>
      </c>
      <c r="F154" s="46" t="s">
        <v>501</v>
      </c>
      <c r="G154" s="46" t="s">
        <v>519</v>
      </c>
      <c r="H154" s="46" t="s">
        <v>520</v>
      </c>
      <c r="I154" s="46" t="s">
        <v>909</v>
      </c>
      <c r="J154" s="46" t="s">
        <v>910</v>
      </c>
      <c r="K154" s="46" t="s">
        <v>745</v>
      </c>
      <c r="L154" s="5" t="s">
        <v>617</v>
      </c>
    </row>
    <row r="155" spans="1:12" ht="14.5">
      <c r="A155" s="45">
        <v>354302</v>
      </c>
      <c r="B155" s="46" t="s">
        <v>499</v>
      </c>
      <c r="C155" s="46" t="s">
        <v>500</v>
      </c>
      <c r="D155" s="46" t="s">
        <v>501</v>
      </c>
      <c r="E155" s="46" t="s">
        <v>501</v>
      </c>
      <c r="F155" s="46" t="s">
        <v>501</v>
      </c>
      <c r="G155" s="46" t="s">
        <v>530</v>
      </c>
      <c r="H155" s="46" t="s">
        <v>524</v>
      </c>
      <c r="I155" s="46" t="s">
        <v>911</v>
      </c>
      <c r="J155" s="46" t="s">
        <v>912</v>
      </c>
      <c r="K155" s="46" t="s">
        <v>655</v>
      </c>
      <c r="L155" s="5" t="s">
        <v>601</v>
      </c>
    </row>
    <row r="156" spans="1:12" ht="14.5">
      <c r="A156" s="45">
        <v>7953</v>
      </c>
      <c r="B156" s="46" t="s">
        <v>499</v>
      </c>
      <c r="C156" s="46" t="s">
        <v>500</v>
      </c>
      <c r="D156" s="46" t="s">
        <v>167</v>
      </c>
      <c r="E156" s="46" t="s">
        <v>169</v>
      </c>
      <c r="F156" s="46" t="s">
        <v>501</v>
      </c>
      <c r="G156" s="46" t="s">
        <v>530</v>
      </c>
      <c r="H156" s="46" t="s">
        <v>524</v>
      </c>
      <c r="I156" s="46" t="s">
        <v>445</v>
      </c>
      <c r="J156" s="46" t="s">
        <v>913</v>
      </c>
      <c r="K156" s="46" t="s">
        <v>671</v>
      </c>
      <c r="L156" s="5" t="s">
        <v>626</v>
      </c>
    </row>
    <row r="157" spans="1:12" ht="14.5">
      <c r="A157" s="45">
        <v>127213</v>
      </c>
      <c r="B157" s="46" t="s">
        <v>526</v>
      </c>
      <c r="C157" s="46" t="s">
        <v>514</v>
      </c>
      <c r="D157" s="46" t="s">
        <v>501</v>
      </c>
      <c r="E157" s="46" t="s">
        <v>501</v>
      </c>
      <c r="F157" s="46" t="s">
        <v>527</v>
      </c>
      <c r="G157" s="46" t="s">
        <v>528</v>
      </c>
      <c r="H157" s="46" t="s">
        <v>520</v>
      </c>
      <c r="I157" s="46" t="s">
        <v>914</v>
      </c>
      <c r="J157" s="46" t="s">
        <v>915</v>
      </c>
      <c r="K157" s="46" t="s">
        <v>838</v>
      </c>
      <c r="L157" s="47" t="s">
        <v>584</v>
      </c>
    </row>
    <row r="158" spans="1:12" ht="14.5">
      <c r="A158" s="45">
        <v>26673</v>
      </c>
      <c r="B158" s="46" t="s">
        <v>518</v>
      </c>
      <c r="C158" s="46" t="s">
        <v>514</v>
      </c>
      <c r="D158" s="46" t="s">
        <v>167</v>
      </c>
      <c r="E158" s="46" t="s">
        <v>501</v>
      </c>
      <c r="F158" s="46" t="s">
        <v>522</v>
      </c>
      <c r="G158" s="46" t="s">
        <v>519</v>
      </c>
      <c r="H158" s="46" t="s">
        <v>520</v>
      </c>
      <c r="I158" s="46" t="s">
        <v>916</v>
      </c>
      <c r="J158" s="46" t="s">
        <v>917</v>
      </c>
      <c r="K158" s="46" t="s">
        <v>685</v>
      </c>
      <c r="L158" s="5" t="s">
        <v>617</v>
      </c>
    </row>
    <row r="159" spans="1:12" ht="14.5">
      <c r="A159" s="45">
        <v>194180</v>
      </c>
      <c r="B159" s="46" t="s">
        <v>526</v>
      </c>
      <c r="C159" s="46" t="s">
        <v>514</v>
      </c>
      <c r="D159" s="46" t="s">
        <v>431</v>
      </c>
      <c r="E159" s="46" t="s">
        <v>501</v>
      </c>
      <c r="F159" s="46" t="s">
        <v>501</v>
      </c>
      <c r="G159" s="46" t="s">
        <v>510</v>
      </c>
      <c r="H159" s="46" t="s">
        <v>511</v>
      </c>
      <c r="I159" s="46" t="s">
        <v>918</v>
      </c>
      <c r="J159" s="46" t="s">
        <v>919</v>
      </c>
      <c r="K159" s="46" t="s">
        <v>920</v>
      </c>
      <c r="L159" s="5" t="s">
        <v>668</v>
      </c>
    </row>
    <row r="160" spans="1:12" ht="14.5">
      <c r="A160" s="45">
        <v>354302</v>
      </c>
      <c r="B160" s="46" t="s">
        <v>499</v>
      </c>
      <c r="C160" s="46" t="s">
        <v>500</v>
      </c>
      <c r="D160" s="46" t="s">
        <v>501</v>
      </c>
      <c r="E160" s="46" t="s">
        <v>501</v>
      </c>
      <c r="F160" s="46" t="s">
        <v>501</v>
      </c>
      <c r="G160" s="46" t="s">
        <v>530</v>
      </c>
      <c r="H160" s="46" t="s">
        <v>524</v>
      </c>
      <c r="I160" s="46" t="s">
        <v>921</v>
      </c>
      <c r="J160" s="46" t="s">
        <v>922</v>
      </c>
      <c r="K160" s="46" t="s">
        <v>829</v>
      </c>
      <c r="L160" s="5" t="s">
        <v>617</v>
      </c>
    </row>
    <row r="161" spans="1:13" ht="14.5">
      <c r="A161" s="45">
        <v>3017</v>
      </c>
      <c r="B161" s="46" t="s">
        <v>525</v>
      </c>
      <c r="C161" s="46" t="s">
        <v>514</v>
      </c>
      <c r="D161" s="46" t="s">
        <v>167</v>
      </c>
      <c r="E161" s="46" t="s">
        <v>501</v>
      </c>
      <c r="F161" s="46" t="s">
        <v>501</v>
      </c>
      <c r="G161" s="46" t="s">
        <v>519</v>
      </c>
      <c r="H161" s="46" t="s">
        <v>520</v>
      </c>
      <c r="I161" s="46" t="s">
        <v>923</v>
      </c>
      <c r="J161" s="46" t="s">
        <v>924</v>
      </c>
      <c r="K161" s="46" t="s">
        <v>924</v>
      </c>
      <c r="L161" s="5" t="s">
        <v>668</v>
      </c>
    </row>
    <row r="162" spans="1:13" ht="14.5">
      <c r="A162" s="45">
        <v>14189</v>
      </c>
      <c r="B162" s="46" t="s">
        <v>525</v>
      </c>
      <c r="C162" s="46" t="s">
        <v>514</v>
      </c>
      <c r="D162" s="46" t="s">
        <v>167</v>
      </c>
      <c r="E162" s="46" t="s">
        <v>501</v>
      </c>
      <c r="F162" s="46" t="s">
        <v>501</v>
      </c>
      <c r="G162" s="46" t="s">
        <v>519</v>
      </c>
      <c r="H162" s="46" t="s">
        <v>520</v>
      </c>
      <c r="I162" s="46" t="s">
        <v>925</v>
      </c>
      <c r="J162" s="46" t="s">
        <v>926</v>
      </c>
      <c r="K162" s="46" t="s">
        <v>745</v>
      </c>
      <c r="L162" s="5" t="s">
        <v>617</v>
      </c>
    </row>
    <row r="163" spans="1:13" ht="14.5">
      <c r="A163" s="45">
        <v>12641</v>
      </c>
      <c r="B163" s="46" t="s">
        <v>513</v>
      </c>
      <c r="C163" s="46" t="s">
        <v>514</v>
      </c>
      <c r="D163" s="46" t="s">
        <v>501</v>
      </c>
      <c r="E163" s="46" t="s">
        <v>501</v>
      </c>
      <c r="F163" s="46" t="s">
        <v>501</v>
      </c>
      <c r="G163" s="46" t="s">
        <v>531</v>
      </c>
      <c r="H163" s="46" t="s">
        <v>503</v>
      </c>
      <c r="I163" s="46" t="s">
        <v>927</v>
      </c>
      <c r="J163" s="46" t="s">
        <v>928</v>
      </c>
      <c r="K163" s="46" t="s">
        <v>789</v>
      </c>
      <c r="L163" s="47" t="s">
        <v>584</v>
      </c>
      <c r="M163" s="48"/>
    </row>
    <row r="164" spans="1:13" ht="14.5">
      <c r="A164" s="45">
        <v>194180</v>
      </c>
      <c r="B164" s="46" t="s">
        <v>526</v>
      </c>
      <c r="C164" s="46" t="s">
        <v>514</v>
      </c>
      <c r="D164" s="46" t="s">
        <v>431</v>
      </c>
      <c r="E164" s="46" t="s">
        <v>501</v>
      </c>
      <c r="F164" s="46" t="s">
        <v>501</v>
      </c>
      <c r="G164" s="46" t="s">
        <v>510</v>
      </c>
      <c r="H164" s="46" t="s">
        <v>511</v>
      </c>
      <c r="I164" s="46" t="s">
        <v>929</v>
      </c>
      <c r="J164" s="46" t="s">
        <v>930</v>
      </c>
      <c r="K164" s="46" t="s">
        <v>719</v>
      </c>
      <c r="L164" s="5" t="s">
        <v>668</v>
      </c>
      <c r="M164" s="48"/>
    </row>
    <row r="165" spans="1:13" ht="14.5">
      <c r="A165" s="45">
        <v>9878</v>
      </c>
      <c r="B165" s="46" t="s">
        <v>499</v>
      </c>
      <c r="C165" s="46" t="s">
        <v>500</v>
      </c>
      <c r="D165" s="46" t="s">
        <v>167</v>
      </c>
      <c r="E165" s="46" t="s">
        <v>169</v>
      </c>
      <c r="F165" s="46" t="s">
        <v>522</v>
      </c>
      <c r="G165" s="46" t="s">
        <v>515</v>
      </c>
      <c r="H165" s="46" t="s">
        <v>516</v>
      </c>
      <c r="I165" s="46" t="s">
        <v>931</v>
      </c>
      <c r="J165" s="46" t="s">
        <v>932</v>
      </c>
      <c r="K165" s="46" t="s">
        <v>819</v>
      </c>
      <c r="L165" s="47" t="s">
        <v>584</v>
      </c>
      <c r="M165" s="48"/>
    </row>
    <row r="166" spans="1:13" ht="14.5">
      <c r="A166" s="45">
        <v>41750</v>
      </c>
      <c r="B166" s="46" t="s">
        <v>525</v>
      </c>
      <c r="C166" s="46" t="s">
        <v>514</v>
      </c>
      <c r="D166" s="46" t="s">
        <v>501</v>
      </c>
      <c r="E166" s="46" t="s">
        <v>501</v>
      </c>
      <c r="F166" s="46" t="s">
        <v>501</v>
      </c>
      <c r="G166" s="46" t="s">
        <v>510</v>
      </c>
      <c r="H166" s="46" t="s">
        <v>511</v>
      </c>
      <c r="I166" s="46" t="s">
        <v>933</v>
      </c>
      <c r="J166" s="46" t="s">
        <v>934</v>
      </c>
      <c r="K166" s="46" t="s">
        <v>819</v>
      </c>
      <c r="L166" s="47" t="s">
        <v>584</v>
      </c>
      <c r="M166" s="48"/>
    </row>
    <row r="167" spans="1:13" ht="14.5">
      <c r="A167" s="45">
        <v>26673</v>
      </c>
      <c r="B167" s="46" t="s">
        <v>518</v>
      </c>
      <c r="C167" s="46" t="s">
        <v>514</v>
      </c>
      <c r="D167" s="46" t="s">
        <v>167</v>
      </c>
      <c r="E167" s="46" t="s">
        <v>501</v>
      </c>
      <c r="F167" s="46" t="s">
        <v>522</v>
      </c>
      <c r="G167" s="46" t="s">
        <v>519</v>
      </c>
      <c r="H167" s="46" t="s">
        <v>520</v>
      </c>
      <c r="I167" s="46" t="s">
        <v>935</v>
      </c>
      <c r="J167" s="46" t="s">
        <v>936</v>
      </c>
      <c r="K167" s="46" t="s">
        <v>934</v>
      </c>
      <c r="L167" s="47" t="s">
        <v>584</v>
      </c>
      <c r="M167" s="48"/>
    </row>
    <row r="168" spans="1:13" ht="14.5">
      <c r="A168" s="45">
        <v>127300</v>
      </c>
      <c r="B168" s="46" t="s">
        <v>542</v>
      </c>
      <c r="C168" s="46" t="s">
        <v>514</v>
      </c>
      <c r="D168" s="46" t="s">
        <v>501</v>
      </c>
      <c r="E168" s="46" t="s">
        <v>501</v>
      </c>
      <c r="F168" s="46" t="s">
        <v>501</v>
      </c>
      <c r="G168" s="46" t="s">
        <v>528</v>
      </c>
      <c r="H168" s="46" t="s">
        <v>520</v>
      </c>
      <c r="I168" s="46" t="s">
        <v>937</v>
      </c>
      <c r="J168" s="46" t="s">
        <v>938</v>
      </c>
      <c r="K168" s="46" t="s">
        <v>881</v>
      </c>
      <c r="L168" s="47" t="s">
        <v>605</v>
      </c>
      <c r="M168" s="48"/>
    </row>
    <row r="169" spans="1:13" ht="14.5">
      <c r="A169" s="45">
        <v>8410</v>
      </c>
      <c r="B169" s="46" t="s">
        <v>509</v>
      </c>
      <c r="C169" s="46" t="s">
        <v>500</v>
      </c>
      <c r="D169" s="46" t="s">
        <v>167</v>
      </c>
      <c r="E169" s="46" t="s">
        <v>169</v>
      </c>
      <c r="F169" s="46" t="s">
        <v>501</v>
      </c>
      <c r="G169" s="46" t="s">
        <v>533</v>
      </c>
      <c r="H169" s="46" t="s">
        <v>506</v>
      </c>
      <c r="I169" s="46" t="s">
        <v>939</v>
      </c>
      <c r="J169" s="46" t="s">
        <v>938</v>
      </c>
      <c r="K169" s="46" t="s">
        <v>881</v>
      </c>
      <c r="L169" s="47" t="s">
        <v>605</v>
      </c>
      <c r="M169" s="48"/>
    </row>
    <row r="170" spans="1:13" ht="14.5">
      <c r="A170" s="45">
        <v>8410</v>
      </c>
      <c r="B170" s="46" t="s">
        <v>509</v>
      </c>
      <c r="C170" s="46" t="s">
        <v>500</v>
      </c>
      <c r="D170" s="46" t="s">
        <v>167</v>
      </c>
      <c r="E170" s="46" t="s">
        <v>169</v>
      </c>
      <c r="F170" s="46" t="s">
        <v>501</v>
      </c>
      <c r="G170" s="46" t="s">
        <v>533</v>
      </c>
      <c r="H170" s="46" t="s">
        <v>506</v>
      </c>
      <c r="I170" s="46" t="s">
        <v>940</v>
      </c>
      <c r="J170" s="46" t="s">
        <v>881</v>
      </c>
      <c r="K170" s="46" t="s">
        <v>881</v>
      </c>
      <c r="L170" s="47" t="s">
        <v>605</v>
      </c>
      <c r="M170" s="48"/>
    </row>
    <row r="171" spans="1:13" ht="14.5">
      <c r="A171" s="45">
        <v>8410</v>
      </c>
      <c r="B171" s="46" t="s">
        <v>509</v>
      </c>
      <c r="C171" s="46" t="s">
        <v>500</v>
      </c>
      <c r="D171" s="46" t="s">
        <v>167</v>
      </c>
      <c r="E171" s="46" t="s">
        <v>169</v>
      </c>
      <c r="F171" s="46" t="s">
        <v>501</v>
      </c>
      <c r="G171" s="46" t="s">
        <v>533</v>
      </c>
      <c r="H171" s="46" t="s">
        <v>506</v>
      </c>
      <c r="I171" s="46" t="s">
        <v>941</v>
      </c>
      <c r="J171" s="46" t="s">
        <v>942</v>
      </c>
      <c r="K171" s="46" t="s">
        <v>881</v>
      </c>
      <c r="L171" s="47" t="s">
        <v>605</v>
      </c>
    </row>
    <row r="172" spans="1:13" ht="14.5">
      <c r="A172" s="45">
        <v>228110</v>
      </c>
      <c r="B172" s="46" t="s">
        <v>518</v>
      </c>
      <c r="C172" s="46" t="s">
        <v>514</v>
      </c>
      <c r="D172" s="46" t="s">
        <v>501</v>
      </c>
      <c r="E172" s="46" t="s">
        <v>501</v>
      </c>
      <c r="F172" s="46" t="s">
        <v>501</v>
      </c>
      <c r="G172" s="46" t="s">
        <v>519</v>
      </c>
      <c r="H172" s="46" t="s">
        <v>520</v>
      </c>
      <c r="I172" s="46" t="s">
        <v>943</v>
      </c>
      <c r="J172" s="46" t="s">
        <v>944</v>
      </c>
      <c r="K172" s="46" t="s">
        <v>945</v>
      </c>
      <c r="L172" s="5" t="s">
        <v>614</v>
      </c>
    </row>
    <row r="173" spans="1:13" ht="14.5">
      <c r="A173" s="45">
        <v>31614</v>
      </c>
      <c r="B173" s="46" t="s">
        <v>507</v>
      </c>
      <c r="C173" s="46" t="s">
        <v>500</v>
      </c>
      <c r="D173" s="46" t="s">
        <v>167</v>
      </c>
      <c r="E173" s="46" t="s">
        <v>169</v>
      </c>
      <c r="F173" s="46" t="s">
        <v>501</v>
      </c>
      <c r="G173" s="46" t="s">
        <v>508</v>
      </c>
      <c r="H173" s="46" t="s">
        <v>506</v>
      </c>
      <c r="I173" s="46" t="s">
        <v>946</v>
      </c>
      <c r="J173" s="46" t="s">
        <v>947</v>
      </c>
      <c r="K173" s="46" t="s">
        <v>878</v>
      </c>
      <c r="L173" s="5" t="s">
        <v>701</v>
      </c>
    </row>
    <row r="174" spans="1:13" ht="14.5">
      <c r="A174" s="45">
        <v>234758</v>
      </c>
      <c r="B174" s="46" t="s">
        <v>507</v>
      </c>
      <c r="C174" s="46" t="s">
        <v>500</v>
      </c>
      <c r="D174" s="46" t="s">
        <v>501</v>
      </c>
      <c r="E174" s="46" t="s">
        <v>169</v>
      </c>
      <c r="F174" s="46" t="s">
        <v>522</v>
      </c>
      <c r="G174" s="46" t="s">
        <v>510</v>
      </c>
      <c r="H174" s="46" t="s">
        <v>511</v>
      </c>
      <c r="I174" s="46" t="s">
        <v>948</v>
      </c>
      <c r="J174" s="46" t="s">
        <v>949</v>
      </c>
      <c r="K174" s="46" t="s">
        <v>897</v>
      </c>
      <c r="L174" s="5" t="s">
        <v>701</v>
      </c>
    </row>
    <row r="175" spans="1:13" ht="14.5">
      <c r="A175" s="45">
        <v>23855</v>
      </c>
      <c r="B175" s="46" t="s">
        <v>499</v>
      </c>
      <c r="C175" s="46" t="s">
        <v>500</v>
      </c>
      <c r="D175" s="46" t="s">
        <v>167</v>
      </c>
      <c r="E175" s="46" t="s">
        <v>169</v>
      </c>
      <c r="F175" s="46" t="s">
        <v>501</v>
      </c>
      <c r="G175" s="46" t="s">
        <v>533</v>
      </c>
      <c r="H175" s="46" t="s">
        <v>506</v>
      </c>
      <c r="I175" s="46" t="s">
        <v>950</v>
      </c>
      <c r="J175" s="46" t="s">
        <v>951</v>
      </c>
      <c r="K175" s="46" t="s">
        <v>952</v>
      </c>
      <c r="L175" s="47" t="s">
        <v>584</v>
      </c>
    </row>
    <row r="176" spans="1:13" ht="14.5">
      <c r="A176" s="45">
        <v>27494</v>
      </c>
      <c r="B176" s="46" t="s">
        <v>526</v>
      </c>
      <c r="C176" s="46" t="s">
        <v>514</v>
      </c>
      <c r="D176" s="46" t="s">
        <v>501</v>
      </c>
      <c r="E176" s="46" t="s">
        <v>289</v>
      </c>
      <c r="F176" s="46" t="s">
        <v>501</v>
      </c>
      <c r="G176" s="46" t="s">
        <v>541</v>
      </c>
      <c r="H176" s="46" t="s">
        <v>524</v>
      </c>
      <c r="I176" s="46" t="s">
        <v>471</v>
      </c>
      <c r="J176" s="46" t="s">
        <v>953</v>
      </c>
      <c r="K176" s="46" t="s">
        <v>953</v>
      </c>
      <c r="L176" s="47" t="s">
        <v>584</v>
      </c>
    </row>
    <row r="177" spans="1:12" ht="14.5">
      <c r="A177" s="45">
        <v>31614</v>
      </c>
      <c r="B177" s="46" t="s">
        <v>507</v>
      </c>
      <c r="C177" s="46" t="s">
        <v>500</v>
      </c>
      <c r="D177" s="46" t="s">
        <v>167</v>
      </c>
      <c r="E177" s="46" t="s">
        <v>169</v>
      </c>
      <c r="F177" s="46" t="s">
        <v>501</v>
      </c>
      <c r="G177" s="46" t="s">
        <v>508</v>
      </c>
      <c r="H177" s="46" t="s">
        <v>506</v>
      </c>
      <c r="I177" s="46" t="s">
        <v>954</v>
      </c>
      <c r="J177" s="46" t="s">
        <v>955</v>
      </c>
      <c r="K177" s="46" t="s">
        <v>700</v>
      </c>
      <c r="L177" s="5" t="s">
        <v>701</v>
      </c>
    </row>
    <row r="178" spans="1:12" ht="14.5">
      <c r="A178" s="45">
        <v>127213</v>
      </c>
      <c r="B178" s="46" t="s">
        <v>526</v>
      </c>
      <c r="C178" s="46" t="s">
        <v>514</v>
      </c>
      <c r="D178" s="46" t="s">
        <v>501</v>
      </c>
      <c r="E178" s="46" t="s">
        <v>501</v>
      </c>
      <c r="F178" s="46" t="s">
        <v>527</v>
      </c>
      <c r="G178" s="46" t="s">
        <v>528</v>
      </c>
      <c r="H178" s="46" t="s">
        <v>520</v>
      </c>
      <c r="I178" s="46" t="s">
        <v>956</v>
      </c>
      <c r="J178" s="46" t="s">
        <v>957</v>
      </c>
      <c r="K178" s="46" t="s">
        <v>838</v>
      </c>
      <c r="L178" s="47" t="s">
        <v>584</v>
      </c>
    </row>
    <row r="179" spans="1:12" ht="14.5">
      <c r="A179" s="45">
        <v>18301</v>
      </c>
      <c r="B179" s="46" t="s">
        <v>499</v>
      </c>
      <c r="C179" s="46" t="s">
        <v>500</v>
      </c>
      <c r="D179" s="46" t="s">
        <v>394</v>
      </c>
      <c r="E179" s="46" t="s">
        <v>501</v>
      </c>
      <c r="F179" s="46" t="s">
        <v>501</v>
      </c>
      <c r="G179" s="46" t="s">
        <v>505</v>
      </c>
      <c r="H179" s="46" t="s">
        <v>506</v>
      </c>
      <c r="I179" s="46" t="s">
        <v>464</v>
      </c>
      <c r="J179" s="46" t="s">
        <v>958</v>
      </c>
      <c r="K179" s="46" t="s">
        <v>637</v>
      </c>
      <c r="L179" s="5" t="s">
        <v>593</v>
      </c>
    </row>
    <row r="180" spans="1:12" ht="14.5">
      <c r="A180" s="45">
        <v>31614</v>
      </c>
      <c r="B180" s="46" t="s">
        <v>507</v>
      </c>
      <c r="C180" s="46" t="s">
        <v>500</v>
      </c>
      <c r="D180" s="46" t="s">
        <v>167</v>
      </c>
      <c r="E180" s="46" t="s">
        <v>169</v>
      </c>
      <c r="F180" s="46" t="s">
        <v>501</v>
      </c>
      <c r="G180" s="46" t="s">
        <v>508</v>
      </c>
      <c r="H180" s="46" t="s">
        <v>506</v>
      </c>
      <c r="I180" s="46" t="s">
        <v>959</v>
      </c>
      <c r="J180" s="46" t="s">
        <v>960</v>
      </c>
      <c r="K180" s="46" t="s">
        <v>758</v>
      </c>
      <c r="L180" s="5" t="s">
        <v>701</v>
      </c>
    </row>
    <row r="181" spans="1:12" ht="14.5">
      <c r="A181" s="45">
        <v>26673</v>
      </c>
      <c r="B181" s="46" t="s">
        <v>518</v>
      </c>
      <c r="C181" s="46" t="s">
        <v>514</v>
      </c>
      <c r="D181" s="46" t="s">
        <v>167</v>
      </c>
      <c r="E181" s="46" t="s">
        <v>501</v>
      </c>
      <c r="F181" s="46" t="s">
        <v>522</v>
      </c>
      <c r="G181" s="46" t="s">
        <v>519</v>
      </c>
      <c r="H181" s="46" t="s">
        <v>520</v>
      </c>
      <c r="I181" s="46" t="s">
        <v>961</v>
      </c>
      <c r="J181" s="46" t="s">
        <v>962</v>
      </c>
      <c r="K181" s="46" t="s">
        <v>685</v>
      </c>
      <c r="L181" s="5" t="s">
        <v>617</v>
      </c>
    </row>
    <row r="182" spans="1:12" ht="14.5">
      <c r="A182" s="45">
        <v>31666</v>
      </c>
      <c r="B182" s="46" t="s">
        <v>499</v>
      </c>
      <c r="C182" s="46" t="s">
        <v>500</v>
      </c>
      <c r="D182" s="46" t="s">
        <v>167</v>
      </c>
      <c r="E182" s="46" t="s">
        <v>289</v>
      </c>
      <c r="F182" s="46" t="s">
        <v>501</v>
      </c>
      <c r="G182" s="46" t="s">
        <v>533</v>
      </c>
      <c r="H182" s="46" t="s">
        <v>506</v>
      </c>
      <c r="I182" s="46" t="s">
        <v>963</v>
      </c>
      <c r="J182" s="46" t="s">
        <v>964</v>
      </c>
      <c r="K182" s="46" t="s">
        <v>640</v>
      </c>
      <c r="L182" s="5" t="s">
        <v>641</v>
      </c>
    </row>
    <row r="183" spans="1:12" ht="14.5">
      <c r="A183" s="45">
        <v>25714</v>
      </c>
      <c r="B183" s="46" t="s">
        <v>509</v>
      </c>
      <c r="C183" s="46" t="s">
        <v>500</v>
      </c>
      <c r="D183" s="46" t="s">
        <v>167</v>
      </c>
      <c r="E183" s="46" t="s">
        <v>289</v>
      </c>
      <c r="F183" s="46" t="s">
        <v>501</v>
      </c>
      <c r="G183" s="46" t="s">
        <v>510</v>
      </c>
      <c r="H183" s="46" t="s">
        <v>511</v>
      </c>
      <c r="I183" s="46" t="s">
        <v>965</v>
      </c>
      <c r="J183" s="46" t="s">
        <v>966</v>
      </c>
      <c r="K183" s="46" t="s">
        <v>652</v>
      </c>
      <c r="L183" s="5" t="s">
        <v>617</v>
      </c>
    </row>
    <row r="184" spans="1:12" ht="14.5">
      <c r="A184" s="45">
        <v>25714</v>
      </c>
      <c r="B184" s="46" t="s">
        <v>509</v>
      </c>
      <c r="C184" s="46" t="s">
        <v>500</v>
      </c>
      <c r="D184" s="46" t="s">
        <v>167</v>
      </c>
      <c r="E184" s="46" t="s">
        <v>289</v>
      </c>
      <c r="F184" s="46" t="s">
        <v>501</v>
      </c>
      <c r="G184" s="46" t="s">
        <v>510</v>
      </c>
      <c r="H184" s="46" t="s">
        <v>511</v>
      </c>
      <c r="I184" s="46" t="s">
        <v>967</v>
      </c>
      <c r="J184" s="46" t="s">
        <v>966</v>
      </c>
      <c r="K184" s="46" t="s">
        <v>652</v>
      </c>
      <c r="L184" s="5" t="s">
        <v>617</v>
      </c>
    </row>
    <row r="185" spans="1:12" ht="14.5">
      <c r="A185" s="45">
        <v>25714</v>
      </c>
      <c r="B185" s="46" t="s">
        <v>509</v>
      </c>
      <c r="C185" s="46" t="s">
        <v>500</v>
      </c>
      <c r="D185" s="46" t="s">
        <v>167</v>
      </c>
      <c r="E185" s="46" t="s">
        <v>289</v>
      </c>
      <c r="F185" s="46" t="s">
        <v>501</v>
      </c>
      <c r="G185" s="46" t="s">
        <v>510</v>
      </c>
      <c r="H185" s="46" t="s">
        <v>511</v>
      </c>
      <c r="I185" s="46" t="s">
        <v>968</v>
      </c>
      <c r="J185" s="46" t="s">
        <v>966</v>
      </c>
      <c r="K185" s="46" t="s">
        <v>652</v>
      </c>
      <c r="L185" s="5" t="s">
        <v>617</v>
      </c>
    </row>
    <row r="186" spans="1:12" ht="14.5">
      <c r="A186" s="45">
        <v>194180</v>
      </c>
      <c r="B186" s="46" t="s">
        <v>526</v>
      </c>
      <c r="C186" s="46" t="s">
        <v>514</v>
      </c>
      <c r="D186" s="46" t="s">
        <v>431</v>
      </c>
      <c r="E186" s="46" t="s">
        <v>501</v>
      </c>
      <c r="F186" s="46" t="s">
        <v>501</v>
      </c>
      <c r="G186" s="46" t="s">
        <v>510</v>
      </c>
      <c r="H186" s="46" t="s">
        <v>511</v>
      </c>
      <c r="I186" s="46" t="s">
        <v>969</v>
      </c>
      <c r="J186" s="46" t="s">
        <v>970</v>
      </c>
      <c r="K186" s="46" t="s">
        <v>971</v>
      </c>
      <c r="L186" s="5" t="s">
        <v>626</v>
      </c>
    </row>
    <row r="187" spans="1:12" ht="14.5">
      <c r="A187" s="45">
        <v>231273</v>
      </c>
      <c r="B187" s="46" t="s">
        <v>513</v>
      </c>
      <c r="C187" s="46" t="s">
        <v>514</v>
      </c>
      <c r="D187" s="46" t="s">
        <v>501</v>
      </c>
      <c r="E187" s="46" t="s">
        <v>521</v>
      </c>
      <c r="F187" s="46" t="s">
        <v>522</v>
      </c>
      <c r="G187" s="46" t="s">
        <v>523</v>
      </c>
      <c r="H187" s="46" t="s">
        <v>524</v>
      </c>
      <c r="I187" s="46" t="s">
        <v>972</v>
      </c>
      <c r="J187" s="46" t="s">
        <v>973</v>
      </c>
      <c r="K187" s="46" t="s">
        <v>842</v>
      </c>
      <c r="L187" s="5" t="s">
        <v>626</v>
      </c>
    </row>
    <row r="188" spans="1:12" ht="14.5">
      <c r="A188" s="45">
        <v>31666</v>
      </c>
      <c r="B188" s="46" t="s">
        <v>499</v>
      </c>
      <c r="C188" s="46" t="s">
        <v>500</v>
      </c>
      <c r="D188" s="46" t="s">
        <v>167</v>
      </c>
      <c r="E188" s="46" t="s">
        <v>289</v>
      </c>
      <c r="F188" s="46" t="s">
        <v>501</v>
      </c>
      <c r="G188" s="46" t="s">
        <v>533</v>
      </c>
      <c r="H188" s="46" t="s">
        <v>506</v>
      </c>
      <c r="I188" s="46" t="s">
        <v>974</v>
      </c>
      <c r="J188" s="46" t="s">
        <v>975</v>
      </c>
      <c r="K188" s="46" t="s">
        <v>640</v>
      </c>
      <c r="L188" s="5" t="s">
        <v>641</v>
      </c>
    </row>
    <row r="189" spans="1:12" ht="14.5">
      <c r="A189" s="45">
        <v>194180</v>
      </c>
      <c r="B189" s="46" t="s">
        <v>526</v>
      </c>
      <c r="C189" s="46" t="s">
        <v>514</v>
      </c>
      <c r="D189" s="46" t="s">
        <v>431</v>
      </c>
      <c r="E189" s="46" t="s">
        <v>501</v>
      </c>
      <c r="F189" s="46" t="s">
        <v>501</v>
      </c>
      <c r="G189" s="46" t="s">
        <v>510</v>
      </c>
      <c r="H189" s="46" t="s">
        <v>511</v>
      </c>
      <c r="I189" s="46" t="s">
        <v>976</v>
      </c>
      <c r="J189" s="46" t="s">
        <v>977</v>
      </c>
      <c r="K189" s="46" t="s">
        <v>842</v>
      </c>
      <c r="L189" s="5" t="s">
        <v>626</v>
      </c>
    </row>
    <row r="190" spans="1:12" ht="14.5">
      <c r="A190" s="45">
        <v>8679</v>
      </c>
      <c r="B190" s="46" t="s">
        <v>532</v>
      </c>
      <c r="C190" s="46" t="s">
        <v>514</v>
      </c>
      <c r="D190" s="46" t="s">
        <v>167</v>
      </c>
      <c r="E190" s="46" t="s">
        <v>169</v>
      </c>
      <c r="F190" s="46" t="s">
        <v>215</v>
      </c>
      <c r="G190" s="46" t="s">
        <v>508</v>
      </c>
      <c r="H190" s="46" t="s">
        <v>506</v>
      </c>
      <c r="I190" s="46" t="s">
        <v>978</v>
      </c>
      <c r="J190" s="46" t="s">
        <v>979</v>
      </c>
      <c r="K190" s="46" t="s">
        <v>863</v>
      </c>
      <c r="L190" s="5" t="s">
        <v>668</v>
      </c>
    </row>
    <row r="191" spans="1:12" ht="14.5">
      <c r="A191" s="45">
        <v>8679</v>
      </c>
      <c r="B191" s="46" t="s">
        <v>532</v>
      </c>
      <c r="C191" s="46" t="s">
        <v>514</v>
      </c>
      <c r="D191" s="46" t="s">
        <v>167</v>
      </c>
      <c r="E191" s="46" t="s">
        <v>169</v>
      </c>
      <c r="F191" s="46" t="s">
        <v>215</v>
      </c>
      <c r="G191" s="46" t="s">
        <v>508</v>
      </c>
      <c r="H191" s="46" t="s">
        <v>506</v>
      </c>
      <c r="I191" s="46" t="s">
        <v>980</v>
      </c>
      <c r="J191" s="46" t="s">
        <v>979</v>
      </c>
      <c r="K191" s="46" t="s">
        <v>863</v>
      </c>
      <c r="L191" s="5" t="s">
        <v>668</v>
      </c>
    </row>
    <row r="192" spans="1:12" ht="14.5">
      <c r="A192" s="45">
        <v>232488</v>
      </c>
      <c r="B192" s="46" t="s">
        <v>525</v>
      </c>
      <c r="C192" s="46" t="s">
        <v>514</v>
      </c>
      <c r="D192" s="46" t="s">
        <v>167</v>
      </c>
      <c r="E192" s="46" t="s">
        <v>169</v>
      </c>
      <c r="F192" s="46" t="s">
        <v>501</v>
      </c>
      <c r="G192" s="46" t="s">
        <v>539</v>
      </c>
      <c r="H192" s="46" t="s">
        <v>506</v>
      </c>
      <c r="I192" s="46" t="s">
        <v>981</v>
      </c>
      <c r="J192" s="46" t="s">
        <v>982</v>
      </c>
      <c r="K192" s="46" t="s">
        <v>655</v>
      </c>
      <c r="L192" s="5" t="s">
        <v>601</v>
      </c>
    </row>
    <row r="193" spans="1:13" ht="14.5">
      <c r="A193" s="45">
        <v>240325</v>
      </c>
      <c r="B193" s="46" t="s">
        <v>513</v>
      </c>
      <c r="C193" s="46" t="s">
        <v>514</v>
      </c>
      <c r="D193" s="46" t="s">
        <v>167</v>
      </c>
      <c r="E193" s="46" t="s">
        <v>289</v>
      </c>
      <c r="F193" s="46" t="s">
        <v>501</v>
      </c>
      <c r="G193" s="46" t="s">
        <v>515</v>
      </c>
      <c r="H193" s="46" t="s">
        <v>516</v>
      </c>
      <c r="I193" s="46" t="s">
        <v>983</v>
      </c>
      <c r="J193" s="46" t="s">
        <v>984</v>
      </c>
      <c r="K193" s="46" t="s">
        <v>671</v>
      </c>
      <c r="L193" s="5" t="s">
        <v>626</v>
      </c>
    </row>
    <row r="194" spans="1:13" ht="14.5">
      <c r="A194" s="45">
        <v>31666</v>
      </c>
      <c r="B194" s="46" t="s">
        <v>499</v>
      </c>
      <c r="C194" s="46" t="s">
        <v>500</v>
      </c>
      <c r="D194" s="46" t="s">
        <v>167</v>
      </c>
      <c r="E194" s="46" t="s">
        <v>289</v>
      </c>
      <c r="F194" s="46" t="s">
        <v>501</v>
      </c>
      <c r="G194" s="46" t="s">
        <v>533</v>
      </c>
      <c r="H194" s="46" t="s">
        <v>506</v>
      </c>
      <c r="I194" s="46" t="s">
        <v>985</v>
      </c>
      <c r="J194" s="46" t="s">
        <v>986</v>
      </c>
      <c r="K194" s="46" t="s">
        <v>640</v>
      </c>
      <c r="L194" s="5" t="s">
        <v>641</v>
      </c>
      <c r="M194" s="48"/>
    </row>
    <row r="195" spans="1:13" ht="14.5">
      <c r="A195" s="45">
        <v>228110</v>
      </c>
      <c r="B195" s="46" t="s">
        <v>518</v>
      </c>
      <c r="C195" s="46" t="s">
        <v>514</v>
      </c>
      <c r="D195" s="46" t="s">
        <v>501</v>
      </c>
      <c r="E195" s="46" t="s">
        <v>501</v>
      </c>
      <c r="F195" s="46" t="s">
        <v>501</v>
      </c>
      <c r="G195" s="46" t="s">
        <v>519</v>
      </c>
      <c r="H195" s="46" t="s">
        <v>520</v>
      </c>
      <c r="I195" s="46" t="s">
        <v>987</v>
      </c>
      <c r="J195" s="46" t="s">
        <v>988</v>
      </c>
      <c r="K195" s="46" t="s">
        <v>988</v>
      </c>
      <c r="L195" s="5" t="s">
        <v>614</v>
      </c>
      <c r="M195" s="48"/>
    </row>
    <row r="196" spans="1:13" ht="14.5">
      <c r="A196" s="45">
        <v>14189</v>
      </c>
      <c r="B196" s="46" t="s">
        <v>525</v>
      </c>
      <c r="C196" s="46" t="s">
        <v>514</v>
      </c>
      <c r="D196" s="46" t="s">
        <v>167</v>
      </c>
      <c r="E196" s="46" t="s">
        <v>501</v>
      </c>
      <c r="F196" s="46" t="s">
        <v>501</v>
      </c>
      <c r="G196" s="46" t="s">
        <v>519</v>
      </c>
      <c r="H196" s="46" t="s">
        <v>520</v>
      </c>
      <c r="I196" s="46" t="s">
        <v>989</v>
      </c>
      <c r="J196" s="46" t="s">
        <v>990</v>
      </c>
      <c r="K196" s="46" t="s">
        <v>745</v>
      </c>
      <c r="L196" s="5" t="s">
        <v>617</v>
      </c>
      <c r="M196" s="48"/>
    </row>
    <row r="197" spans="1:13" ht="14.5">
      <c r="A197" s="45">
        <v>127300</v>
      </c>
      <c r="B197" s="46" t="s">
        <v>542</v>
      </c>
      <c r="C197" s="46" t="s">
        <v>514</v>
      </c>
      <c r="D197" s="46" t="s">
        <v>501</v>
      </c>
      <c r="E197" s="46" t="s">
        <v>501</v>
      </c>
      <c r="F197" s="46" t="s">
        <v>501</v>
      </c>
      <c r="G197" s="46" t="s">
        <v>528</v>
      </c>
      <c r="H197" s="46" t="s">
        <v>520</v>
      </c>
      <c r="I197" s="46" t="s">
        <v>991</v>
      </c>
      <c r="J197" s="46" t="s">
        <v>992</v>
      </c>
      <c r="K197" s="46" t="s">
        <v>678</v>
      </c>
      <c r="L197" s="5" t="s">
        <v>641</v>
      </c>
      <c r="M197" s="48"/>
    </row>
    <row r="198" spans="1:13" ht="14.5">
      <c r="A198" s="45">
        <v>560</v>
      </c>
      <c r="B198" s="46" t="s">
        <v>537</v>
      </c>
      <c r="C198" s="46" t="s">
        <v>514</v>
      </c>
      <c r="D198" s="46" t="s">
        <v>167</v>
      </c>
      <c r="E198" s="46" t="s">
        <v>366</v>
      </c>
      <c r="F198" s="46" t="s">
        <v>215</v>
      </c>
      <c r="G198" s="46" t="s">
        <v>502</v>
      </c>
      <c r="H198" s="46" t="s">
        <v>503</v>
      </c>
      <c r="I198" s="46" t="s">
        <v>543</v>
      </c>
      <c r="J198" s="49" t="s">
        <v>992</v>
      </c>
      <c r="K198" s="46" t="s">
        <v>678</v>
      </c>
      <c r="L198" s="5" t="s">
        <v>641</v>
      </c>
      <c r="M198" s="48"/>
    </row>
    <row r="199" spans="1:13" ht="14.5">
      <c r="A199" s="45">
        <v>194180</v>
      </c>
      <c r="B199" s="46" t="s">
        <v>526</v>
      </c>
      <c r="C199" s="46" t="s">
        <v>514</v>
      </c>
      <c r="D199" s="46" t="s">
        <v>431</v>
      </c>
      <c r="E199" s="46" t="s">
        <v>501</v>
      </c>
      <c r="F199" s="46" t="s">
        <v>501</v>
      </c>
      <c r="G199" s="46" t="s">
        <v>510</v>
      </c>
      <c r="H199" s="46" t="s">
        <v>511</v>
      </c>
      <c r="I199" s="46" t="s">
        <v>993</v>
      </c>
      <c r="J199" s="46" t="s">
        <v>994</v>
      </c>
      <c r="K199" s="46" t="s">
        <v>667</v>
      </c>
      <c r="L199" s="5" t="s">
        <v>668</v>
      </c>
      <c r="M199" s="48"/>
    </row>
    <row r="200" spans="1:13" ht="14.5">
      <c r="A200" s="45">
        <v>194180</v>
      </c>
      <c r="B200" s="46" t="s">
        <v>526</v>
      </c>
      <c r="C200" s="46" t="s">
        <v>514</v>
      </c>
      <c r="D200" s="46" t="s">
        <v>431</v>
      </c>
      <c r="E200" s="46" t="s">
        <v>501</v>
      </c>
      <c r="F200" s="46" t="s">
        <v>501</v>
      </c>
      <c r="G200" s="46" t="s">
        <v>510</v>
      </c>
      <c r="H200" s="46" t="s">
        <v>511</v>
      </c>
      <c r="I200" s="46" t="s">
        <v>995</v>
      </c>
      <c r="J200" s="46" t="s">
        <v>994</v>
      </c>
      <c r="K200" s="46" t="s">
        <v>667</v>
      </c>
      <c r="L200" s="5" t="s">
        <v>668</v>
      </c>
      <c r="M200" s="48"/>
    </row>
    <row r="201" spans="1:13" ht="14.5">
      <c r="A201" s="45">
        <v>22001</v>
      </c>
      <c r="B201" s="46" t="s">
        <v>518</v>
      </c>
      <c r="C201" s="46" t="s">
        <v>514</v>
      </c>
      <c r="D201" s="46" t="s">
        <v>501</v>
      </c>
      <c r="E201" s="46" t="s">
        <v>501</v>
      </c>
      <c r="F201" s="46" t="s">
        <v>501</v>
      </c>
      <c r="G201" s="46" t="s">
        <v>531</v>
      </c>
      <c r="H201" s="46" t="s">
        <v>503</v>
      </c>
      <c r="I201" s="46" t="s">
        <v>996</v>
      </c>
      <c r="J201" s="46" t="s">
        <v>997</v>
      </c>
      <c r="K201" s="46" t="s">
        <v>998</v>
      </c>
      <c r="L201" s="47" t="s">
        <v>584</v>
      </c>
      <c r="M201" s="48"/>
    </row>
    <row r="202" spans="1:13" ht="14.5">
      <c r="A202" s="45">
        <v>31666</v>
      </c>
      <c r="B202" s="46" t="s">
        <v>499</v>
      </c>
      <c r="C202" s="46" t="s">
        <v>500</v>
      </c>
      <c r="D202" s="46" t="s">
        <v>167</v>
      </c>
      <c r="E202" s="46" t="s">
        <v>289</v>
      </c>
      <c r="F202" s="46" t="s">
        <v>501</v>
      </c>
      <c r="G202" s="46" t="s">
        <v>533</v>
      </c>
      <c r="H202" s="46" t="s">
        <v>506</v>
      </c>
      <c r="I202" s="46" t="s">
        <v>999</v>
      </c>
      <c r="J202" s="46" t="s">
        <v>1000</v>
      </c>
      <c r="K202" s="46" t="s">
        <v>598</v>
      </c>
      <c r="L202" s="47" t="s">
        <v>584</v>
      </c>
      <c r="M202" s="48"/>
    </row>
    <row r="203" spans="1:13" ht="14.5">
      <c r="A203" s="45">
        <v>31666</v>
      </c>
      <c r="B203" s="46" t="s">
        <v>499</v>
      </c>
      <c r="C203" s="46" t="s">
        <v>500</v>
      </c>
      <c r="D203" s="46" t="s">
        <v>167</v>
      </c>
      <c r="E203" s="46" t="s">
        <v>289</v>
      </c>
      <c r="F203" s="46" t="s">
        <v>501</v>
      </c>
      <c r="G203" s="46" t="s">
        <v>533</v>
      </c>
      <c r="H203" s="46" t="s">
        <v>506</v>
      </c>
      <c r="I203" s="46" t="s">
        <v>1001</v>
      </c>
      <c r="J203" s="46" t="s">
        <v>1000</v>
      </c>
      <c r="K203" s="46" t="s">
        <v>598</v>
      </c>
      <c r="L203" s="47" t="s">
        <v>584</v>
      </c>
      <c r="M203" s="48"/>
    </row>
    <row r="204" spans="1:13" ht="14.5">
      <c r="A204" s="45">
        <v>3017</v>
      </c>
      <c r="B204" s="46" t="s">
        <v>525</v>
      </c>
      <c r="C204" s="46" t="s">
        <v>514</v>
      </c>
      <c r="D204" s="46" t="s">
        <v>167</v>
      </c>
      <c r="E204" s="46" t="s">
        <v>501</v>
      </c>
      <c r="F204" s="46" t="s">
        <v>501</v>
      </c>
      <c r="G204" s="46" t="s">
        <v>519</v>
      </c>
      <c r="H204" s="46" t="s">
        <v>520</v>
      </c>
      <c r="I204" s="46" t="s">
        <v>1002</v>
      </c>
      <c r="J204" s="46" t="s">
        <v>1003</v>
      </c>
      <c r="K204" s="46" t="s">
        <v>758</v>
      </c>
      <c r="L204" s="5" t="s">
        <v>701</v>
      </c>
      <c r="M204" s="48"/>
    </row>
    <row r="205" spans="1:13" ht="14.5">
      <c r="A205" s="45">
        <v>11247</v>
      </c>
      <c r="B205" s="46" t="s">
        <v>509</v>
      </c>
      <c r="C205" s="46" t="s">
        <v>500</v>
      </c>
      <c r="D205" s="46" t="s">
        <v>167</v>
      </c>
      <c r="E205" s="46" t="s">
        <v>366</v>
      </c>
      <c r="F205" s="46" t="s">
        <v>501</v>
      </c>
      <c r="G205" s="46" t="s">
        <v>510</v>
      </c>
      <c r="H205" s="46" t="s">
        <v>511</v>
      </c>
      <c r="I205" s="46" t="s">
        <v>1004</v>
      </c>
      <c r="J205" s="46" t="s">
        <v>1005</v>
      </c>
      <c r="K205" s="46" t="s">
        <v>1005</v>
      </c>
      <c r="L205" s="47" t="s">
        <v>605</v>
      </c>
      <c r="M205" s="48"/>
    </row>
    <row r="206" spans="1:13" ht="14.5">
      <c r="A206" s="45">
        <v>11247</v>
      </c>
      <c r="B206" s="46" t="s">
        <v>509</v>
      </c>
      <c r="C206" s="46" t="s">
        <v>500</v>
      </c>
      <c r="D206" s="46" t="s">
        <v>167</v>
      </c>
      <c r="E206" s="46" t="s">
        <v>366</v>
      </c>
      <c r="F206" s="46" t="s">
        <v>501</v>
      </c>
      <c r="G206" s="46" t="s">
        <v>510</v>
      </c>
      <c r="H206" s="46" t="s">
        <v>511</v>
      </c>
      <c r="I206" s="46" t="s">
        <v>1006</v>
      </c>
      <c r="J206" s="46" t="s">
        <v>1005</v>
      </c>
      <c r="K206" s="46" t="s">
        <v>1005</v>
      </c>
      <c r="L206" s="47" t="s">
        <v>605</v>
      </c>
      <c r="M206" s="48"/>
    </row>
    <row r="207" spans="1:13" ht="14.5">
      <c r="A207" s="45">
        <v>403583</v>
      </c>
      <c r="B207" s="46" t="s">
        <v>509</v>
      </c>
      <c r="C207" s="46" t="s">
        <v>500</v>
      </c>
      <c r="D207" s="46" t="s">
        <v>167</v>
      </c>
      <c r="E207" s="46" t="s">
        <v>366</v>
      </c>
      <c r="F207" s="46" t="s">
        <v>501</v>
      </c>
      <c r="G207" s="46" t="s">
        <v>510</v>
      </c>
      <c r="H207" s="46" t="s">
        <v>511</v>
      </c>
      <c r="I207" s="46" t="s">
        <v>1007</v>
      </c>
      <c r="J207" s="46" t="s">
        <v>1005</v>
      </c>
      <c r="K207" s="46" t="s">
        <v>1005</v>
      </c>
      <c r="L207" s="47" t="s">
        <v>605</v>
      </c>
      <c r="M207" s="48"/>
    </row>
    <row r="208" spans="1:13" ht="14.5">
      <c r="A208" s="45">
        <v>25714</v>
      </c>
      <c r="B208" s="46" t="s">
        <v>509</v>
      </c>
      <c r="C208" s="46" t="s">
        <v>500</v>
      </c>
      <c r="D208" s="46" t="s">
        <v>167</v>
      </c>
      <c r="E208" s="46" t="s">
        <v>289</v>
      </c>
      <c r="F208" s="46" t="s">
        <v>501</v>
      </c>
      <c r="G208" s="46" t="s">
        <v>510</v>
      </c>
      <c r="H208" s="46" t="s">
        <v>511</v>
      </c>
      <c r="I208" s="46" t="s">
        <v>1008</v>
      </c>
      <c r="J208" s="46" t="s">
        <v>1005</v>
      </c>
      <c r="K208" s="46" t="s">
        <v>1005</v>
      </c>
      <c r="L208" s="47" t="s">
        <v>605</v>
      </c>
    </row>
    <row r="209" spans="1:12" ht="14.5">
      <c r="A209" s="45">
        <v>30061</v>
      </c>
      <c r="B209" s="46" t="s">
        <v>537</v>
      </c>
      <c r="C209" s="46" t="s">
        <v>514</v>
      </c>
      <c r="D209" s="46" t="s">
        <v>501</v>
      </c>
      <c r="E209" s="46" t="s">
        <v>538</v>
      </c>
      <c r="F209" s="46" t="s">
        <v>501</v>
      </c>
      <c r="G209" s="46" t="s">
        <v>510</v>
      </c>
      <c r="H209" s="46" t="s">
        <v>511</v>
      </c>
      <c r="I209" s="46" t="s">
        <v>1009</v>
      </c>
      <c r="J209" s="49" t="s">
        <v>1010</v>
      </c>
      <c r="K209" s="46" t="s">
        <v>748</v>
      </c>
      <c r="L209" s="5" t="s">
        <v>593</v>
      </c>
    </row>
    <row r="210" spans="1:12" ht="14.5">
      <c r="A210" s="45">
        <v>30061</v>
      </c>
      <c r="B210" s="46" t="s">
        <v>537</v>
      </c>
      <c r="C210" s="46" t="s">
        <v>514</v>
      </c>
      <c r="D210" s="46" t="s">
        <v>501</v>
      </c>
      <c r="E210" s="46" t="s">
        <v>538</v>
      </c>
      <c r="F210" s="46" t="s">
        <v>501</v>
      </c>
      <c r="G210" s="46" t="s">
        <v>510</v>
      </c>
      <c r="H210" s="46" t="s">
        <v>511</v>
      </c>
      <c r="I210" s="46" t="s">
        <v>1011</v>
      </c>
      <c r="J210" s="49" t="s">
        <v>1010</v>
      </c>
      <c r="K210" s="46" t="s">
        <v>748</v>
      </c>
      <c r="L210" s="5" t="s">
        <v>593</v>
      </c>
    </row>
    <row r="211" spans="1:12" ht="14.5">
      <c r="A211" s="45">
        <v>3017</v>
      </c>
      <c r="B211" s="46" t="s">
        <v>525</v>
      </c>
      <c r="C211" s="46" t="s">
        <v>514</v>
      </c>
      <c r="D211" s="46" t="s">
        <v>167</v>
      </c>
      <c r="E211" s="46" t="s">
        <v>501</v>
      </c>
      <c r="F211" s="46" t="s">
        <v>501</v>
      </c>
      <c r="G211" s="46" t="s">
        <v>519</v>
      </c>
      <c r="H211" s="46" t="s">
        <v>520</v>
      </c>
      <c r="I211" s="46" t="s">
        <v>1012</v>
      </c>
      <c r="J211" s="46" t="s">
        <v>1013</v>
      </c>
      <c r="K211" s="46" t="s">
        <v>1013</v>
      </c>
      <c r="L211" s="5" t="s">
        <v>701</v>
      </c>
    </row>
    <row r="212" spans="1:12" ht="14.5">
      <c r="A212" s="45">
        <v>240325</v>
      </c>
      <c r="B212" s="46" t="s">
        <v>513</v>
      </c>
      <c r="C212" s="46" t="s">
        <v>514</v>
      </c>
      <c r="D212" s="46" t="s">
        <v>167</v>
      </c>
      <c r="E212" s="46" t="s">
        <v>289</v>
      </c>
      <c r="F212" s="46" t="s">
        <v>501</v>
      </c>
      <c r="G212" s="46" t="s">
        <v>515</v>
      </c>
      <c r="H212" s="46" t="s">
        <v>516</v>
      </c>
      <c r="I212" s="46" t="s">
        <v>1014</v>
      </c>
      <c r="J212" s="46" t="s">
        <v>1015</v>
      </c>
      <c r="K212" s="46" t="s">
        <v>708</v>
      </c>
      <c r="L212" s="5" t="s">
        <v>593</v>
      </c>
    </row>
    <row r="213" spans="1:12" ht="14.5">
      <c r="A213" s="45">
        <v>240325</v>
      </c>
      <c r="B213" s="46" t="s">
        <v>513</v>
      </c>
      <c r="C213" s="46" t="s">
        <v>514</v>
      </c>
      <c r="D213" s="46" t="s">
        <v>167</v>
      </c>
      <c r="E213" s="46" t="s">
        <v>289</v>
      </c>
      <c r="F213" s="46" t="s">
        <v>501</v>
      </c>
      <c r="G213" s="46" t="s">
        <v>515</v>
      </c>
      <c r="H213" s="46" t="s">
        <v>516</v>
      </c>
      <c r="I213" s="46" t="s">
        <v>1016</v>
      </c>
      <c r="J213" s="46" t="s">
        <v>1017</v>
      </c>
      <c r="K213" s="46" t="s">
        <v>708</v>
      </c>
      <c r="L213" s="5" t="s">
        <v>593</v>
      </c>
    </row>
    <row r="214" spans="1:12" ht="14.5">
      <c r="A214" s="45">
        <v>14189</v>
      </c>
      <c r="B214" s="46" t="s">
        <v>525</v>
      </c>
      <c r="C214" s="46" t="s">
        <v>514</v>
      </c>
      <c r="D214" s="46" t="s">
        <v>167</v>
      </c>
      <c r="E214" s="46" t="s">
        <v>501</v>
      </c>
      <c r="F214" s="46" t="s">
        <v>501</v>
      </c>
      <c r="G214" s="46" t="s">
        <v>519</v>
      </c>
      <c r="H214" s="46" t="s">
        <v>520</v>
      </c>
      <c r="I214" s="46" t="s">
        <v>1018</v>
      </c>
      <c r="J214" s="46" t="s">
        <v>1019</v>
      </c>
      <c r="K214" s="46" t="s">
        <v>711</v>
      </c>
      <c r="L214" s="5" t="s">
        <v>593</v>
      </c>
    </row>
    <row r="215" spans="1:12" ht="14.5">
      <c r="A215" s="45">
        <v>26673</v>
      </c>
      <c r="B215" s="46" t="s">
        <v>518</v>
      </c>
      <c r="C215" s="46" t="s">
        <v>514</v>
      </c>
      <c r="D215" s="46" t="s">
        <v>167</v>
      </c>
      <c r="E215" s="46" t="s">
        <v>501</v>
      </c>
      <c r="F215" s="46" t="s">
        <v>522</v>
      </c>
      <c r="G215" s="46" t="s">
        <v>519</v>
      </c>
      <c r="H215" s="46" t="s">
        <v>520</v>
      </c>
      <c r="I215" s="46" t="s">
        <v>1020</v>
      </c>
      <c r="J215" s="46" t="s">
        <v>1021</v>
      </c>
      <c r="K215" s="46" t="s">
        <v>613</v>
      </c>
      <c r="L215" s="5" t="s">
        <v>614</v>
      </c>
    </row>
    <row r="216" spans="1:12" ht="14.5">
      <c r="A216" s="45">
        <v>127213</v>
      </c>
      <c r="B216" s="46" t="s">
        <v>526</v>
      </c>
      <c r="C216" s="46" t="s">
        <v>514</v>
      </c>
      <c r="D216" s="46" t="s">
        <v>501</v>
      </c>
      <c r="E216" s="46" t="s">
        <v>501</v>
      </c>
      <c r="F216" s="46" t="s">
        <v>527</v>
      </c>
      <c r="G216" s="46" t="s">
        <v>528</v>
      </c>
      <c r="H216" s="46" t="s">
        <v>520</v>
      </c>
      <c r="I216" s="46" t="s">
        <v>1022</v>
      </c>
      <c r="J216" s="46" t="s">
        <v>1023</v>
      </c>
      <c r="K216" s="46" t="s">
        <v>838</v>
      </c>
      <c r="L216" s="47" t="s">
        <v>584</v>
      </c>
    </row>
    <row r="217" spans="1:12" ht="14.5">
      <c r="A217" s="45">
        <v>25196</v>
      </c>
      <c r="B217" s="46" t="s">
        <v>499</v>
      </c>
      <c r="C217" s="46" t="s">
        <v>500</v>
      </c>
      <c r="D217" s="46" t="s">
        <v>394</v>
      </c>
      <c r="E217" s="46" t="s">
        <v>501</v>
      </c>
      <c r="F217" s="46" t="s">
        <v>501</v>
      </c>
      <c r="G217" s="46" t="s">
        <v>515</v>
      </c>
      <c r="H217" s="46" t="s">
        <v>516</v>
      </c>
      <c r="I217" s="46" t="s">
        <v>1024</v>
      </c>
      <c r="J217" s="46" t="s">
        <v>1023</v>
      </c>
      <c r="K217" s="46" t="s">
        <v>838</v>
      </c>
      <c r="L217" s="47" t="s">
        <v>584</v>
      </c>
    </row>
    <row r="218" spans="1:12" ht="14.5">
      <c r="A218" s="45">
        <v>41750</v>
      </c>
      <c r="B218" s="46" t="s">
        <v>525</v>
      </c>
      <c r="C218" s="46" t="s">
        <v>514</v>
      </c>
      <c r="D218" s="46" t="s">
        <v>501</v>
      </c>
      <c r="E218" s="46" t="s">
        <v>501</v>
      </c>
      <c r="F218" s="46" t="s">
        <v>501</v>
      </c>
      <c r="G218" s="46" t="s">
        <v>510</v>
      </c>
      <c r="H218" s="46" t="s">
        <v>511</v>
      </c>
      <c r="I218" s="46" t="s">
        <v>1025</v>
      </c>
      <c r="J218" s="46" t="s">
        <v>1026</v>
      </c>
      <c r="K218" s="46" t="s">
        <v>708</v>
      </c>
      <c r="L218" s="5" t="s">
        <v>593</v>
      </c>
    </row>
    <row r="219" spans="1:12" ht="14.5">
      <c r="A219" s="45">
        <v>127213</v>
      </c>
      <c r="B219" s="46" t="s">
        <v>526</v>
      </c>
      <c r="C219" s="46" t="s">
        <v>514</v>
      </c>
      <c r="D219" s="46" t="s">
        <v>501</v>
      </c>
      <c r="E219" s="46" t="s">
        <v>501</v>
      </c>
      <c r="F219" s="46" t="s">
        <v>527</v>
      </c>
      <c r="G219" s="46" t="s">
        <v>528</v>
      </c>
      <c r="H219" s="46" t="s">
        <v>520</v>
      </c>
      <c r="I219" s="46" t="s">
        <v>1027</v>
      </c>
      <c r="J219" s="46" t="s">
        <v>1028</v>
      </c>
      <c r="K219" s="46" t="s">
        <v>1028</v>
      </c>
      <c r="L219" s="47" t="s">
        <v>584</v>
      </c>
    </row>
    <row r="220" spans="1:12" ht="14.5">
      <c r="A220" s="45">
        <v>194180</v>
      </c>
      <c r="B220" s="46" t="s">
        <v>526</v>
      </c>
      <c r="C220" s="46" t="s">
        <v>514</v>
      </c>
      <c r="D220" s="46" t="s">
        <v>431</v>
      </c>
      <c r="E220" s="46" t="s">
        <v>501</v>
      </c>
      <c r="F220" s="46" t="s">
        <v>501</v>
      </c>
      <c r="G220" s="46" t="s">
        <v>510</v>
      </c>
      <c r="H220" s="46" t="s">
        <v>511</v>
      </c>
      <c r="I220" s="46" t="s">
        <v>1029</v>
      </c>
      <c r="J220" s="46" t="s">
        <v>1030</v>
      </c>
      <c r="K220" s="46" t="s">
        <v>708</v>
      </c>
      <c r="L220" s="5" t="s">
        <v>593</v>
      </c>
    </row>
    <row r="221" spans="1:12" ht="14.5">
      <c r="A221" s="45">
        <v>194180</v>
      </c>
      <c r="B221" s="46" t="s">
        <v>526</v>
      </c>
      <c r="C221" s="46" t="s">
        <v>514</v>
      </c>
      <c r="D221" s="46" t="s">
        <v>431</v>
      </c>
      <c r="E221" s="46" t="s">
        <v>501</v>
      </c>
      <c r="F221" s="46" t="s">
        <v>501</v>
      </c>
      <c r="G221" s="46" t="s">
        <v>510</v>
      </c>
      <c r="H221" s="46" t="s">
        <v>511</v>
      </c>
      <c r="I221" s="46" t="s">
        <v>1031</v>
      </c>
      <c r="J221" s="46" t="s">
        <v>1030</v>
      </c>
      <c r="K221" s="46" t="s">
        <v>708</v>
      </c>
      <c r="L221" s="5" t="s">
        <v>593</v>
      </c>
    </row>
    <row r="222" spans="1:12" ht="14.5">
      <c r="A222" s="45">
        <v>194180</v>
      </c>
      <c r="B222" s="46" t="s">
        <v>526</v>
      </c>
      <c r="C222" s="46" t="s">
        <v>514</v>
      </c>
      <c r="D222" s="46" t="s">
        <v>431</v>
      </c>
      <c r="E222" s="46" t="s">
        <v>501</v>
      </c>
      <c r="F222" s="46" t="s">
        <v>501</v>
      </c>
      <c r="G222" s="46" t="s">
        <v>510</v>
      </c>
      <c r="H222" s="46" t="s">
        <v>511</v>
      </c>
      <c r="I222" s="46" t="s">
        <v>1032</v>
      </c>
      <c r="J222" s="46" t="s">
        <v>1030</v>
      </c>
      <c r="K222" s="46" t="s">
        <v>708</v>
      </c>
      <c r="L222" s="5" t="s">
        <v>593</v>
      </c>
    </row>
    <row r="223" spans="1:12" ht="14.5">
      <c r="A223" s="45">
        <v>194180</v>
      </c>
      <c r="B223" s="46" t="s">
        <v>526</v>
      </c>
      <c r="C223" s="46" t="s">
        <v>514</v>
      </c>
      <c r="D223" s="46" t="s">
        <v>431</v>
      </c>
      <c r="E223" s="46" t="s">
        <v>501</v>
      </c>
      <c r="F223" s="46" t="s">
        <v>501</v>
      </c>
      <c r="G223" s="46" t="s">
        <v>510</v>
      </c>
      <c r="H223" s="46" t="s">
        <v>511</v>
      </c>
      <c r="I223" s="46" t="s">
        <v>1033</v>
      </c>
      <c r="J223" s="46" t="s">
        <v>1030</v>
      </c>
      <c r="K223" s="46" t="s">
        <v>708</v>
      </c>
      <c r="L223" s="5" t="s">
        <v>593</v>
      </c>
    </row>
    <row r="224" spans="1:12" ht="14.5">
      <c r="A224" s="45">
        <v>228110</v>
      </c>
      <c r="B224" s="46" t="s">
        <v>518</v>
      </c>
      <c r="C224" s="46" t="s">
        <v>514</v>
      </c>
      <c r="D224" s="46" t="s">
        <v>501</v>
      </c>
      <c r="E224" s="46" t="s">
        <v>501</v>
      </c>
      <c r="F224" s="46" t="s">
        <v>501</v>
      </c>
      <c r="G224" s="46" t="s">
        <v>519</v>
      </c>
      <c r="H224" s="46" t="s">
        <v>520</v>
      </c>
      <c r="I224" s="46" t="s">
        <v>1034</v>
      </c>
      <c r="J224" s="46" t="s">
        <v>1035</v>
      </c>
      <c r="K224" s="46" t="s">
        <v>671</v>
      </c>
      <c r="L224" s="5" t="s">
        <v>626</v>
      </c>
    </row>
    <row r="225" spans="1:13" ht="14.5">
      <c r="A225" s="45">
        <v>9878</v>
      </c>
      <c r="B225" s="46" t="s">
        <v>499</v>
      </c>
      <c r="C225" s="46" t="s">
        <v>500</v>
      </c>
      <c r="D225" s="46" t="s">
        <v>167</v>
      </c>
      <c r="E225" s="46" t="s">
        <v>169</v>
      </c>
      <c r="F225" s="46" t="s">
        <v>522</v>
      </c>
      <c r="G225" s="46" t="s">
        <v>515</v>
      </c>
      <c r="H225" s="46" t="s">
        <v>516</v>
      </c>
      <c r="I225" s="46" t="s">
        <v>1036</v>
      </c>
      <c r="J225" s="46" t="s">
        <v>1037</v>
      </c>
      <c r="K225" s="46" t="s">
        <v>819</v>
      </c>
      <c r="L225" s="47" t="s">
        <v>584</v>
      </c>
    </row>
    <row r="226" spans="1:13" ht="14.5">
      <c r="A226" s="45">
        <v>31614</v>
      </c>
      <c r="B226" s="46" t="s">
        <v>507</v>
      </c>
      <c r="C226" s="46" t="s">
        <v>500</v>
      </c>
      <c r="D226" s="46" t="s">
        <v>167</v>
      </c>
      <c r="E226" s="46" t="s">
        <v>169</v>
      </c>
      <c r="F226" s="46" t="s">
        <v>501</v>
      </c>
      <c r="G226" s="46" t="s">
        <v>508</v>
      </c>
      <c r="H226" s="46" t="s">
        <v>506</v>
      </c>
      <c r="I226" s="46" t="s">
        <v>1038</v>
      </c>
      <c r="J226" s="46" t="s">
        <v>1039</v>
      </c>
      <c r="K226" s="46" t="s">
        <v>583</v>
      </c>
      <c r="L226" s="47" t="s">
        <v>584</v>
      </c>
    </row>
    <row r="227" spans="1:13" ht="14.5">
      <c r="A227" s="45">
        <v>31614</v>
      </c>
      <c r="B227" s="46" t="s">
        <v>507</v>
      </c>
      <c r="C227" s="46" t="s">
        <v>500</v>
      </c>
      <c r="D227" s="46" t="s">
        <v>167</v>
      </c>
      <c r="E227" s="46" t="s">
        <v>169</v>
      </c>
      <c r="F227" s="46" t="s">
        <v>501</v>
      </c>
      <c r="G227" s="46" t="s">
        <v>508</v>
      </c>
      <c r="H227" s="46" t="s">
        <v>506</v>
      </c>
      <c r="I227" s="46" t="s">
        <v>1040</v>
      </c>
      <c r="J227" s="46" t="s">
        <v>1041</v>
      </c>
      <c r="K227" s="46" t="s">
        <v>583</v>
      </c>
      <c r="L227" s="47" t="s">
        <v>584</v>
      </c>
    </row>
    <row r="228" spans="1:13" ht="14.5">
      <c r="A228" s="45">
        <v>25196</v>
      </c>
      <c r="B228" s="46" t="s">
        <v>499</v>
      </c>
      <c r="C228" s="46" t="s">
        <v>500</v>
      </c>
      <c r="D228" s="46" t="s">
        <v>394</v>
      </c>
      <c r="E228" s="46" t="s">
        <v>501</v>
      </c>
      <c r="F228" s="46" t="s">
        <v>501</v>
      </c>
      <c r="G228" s="46" t="s">
        <v>515</v>
      </c>
      <c r="H228" s="46" t="s">
        <v>516</v>
      </c>
      <c r="I228" s="46" t="s">
        <v>1042</v>
      </c>
      <c r="J228" s="46" t="s">
        <v>1043</v>
      </c>
      <c r="K228" s="46" t="s">
        <v>719</v>
      </c>
      <c r="L228" s="5" t="s">
        <v>668</v>
      </c>
    </row>
    <row r="229" spans="1:13" ht="14.5">
      <c r="A229" s="45">
        <v>127213</v>
      </c>
      <c r="B229" s="46" t="s">
        <v>526</v>
      </c>
      <c r="C229" s="46" t="s">
        <v>514</v>
      </c>
      <c r="D229" s="46" t="s">
        <v>501</v>
      </c>
      <c r="E229" s="46" t="s">
        <v>501</v>
      </c>
      <c r="F229" s="46" t="s">
        <v>527</v>
      </c>
      <c r="G229" s="46" t="s">
        <v>528</v>
      </c>
      <c r="H229" s="46" t="s">
        <v>520</v>
      </c>
      <c r="I229" s="46" t="s">
        <v>1044</v>
      </c>
      <c r="J229" s="46" t="s">
        <v>1045</v>
      </c>
      <c r="K229" s="46" t="s">
        <v>920</v>
      </c>
      <c r="L229" s="5" t="s">
        <v>668</v>
      </c>
    </row>
    <row r="230" spans="1:13" ht="14.5">
      <c r="A230" s="45">
        <v>8410</v>
      </c>
      <c r="B230" s="46" t="s">
        <v>509</v>
      </c>
      <c r="C230" s="46" t="s">
        <v>500</v>
      </c>
      <c r="D230" s="46" t="s">
        <v>167</v>
      </c>
      <c r="E230" s="46" t="s">
        <v>169</v>
      </c>
      <c r="F230" s="46" t="s">
        <v>501</v>
      </c>
      <c r="G230" s="46" t="s">
        <v>533</v>
      </c>
      <c r="H230" s="46" t="s">
        <v>506</v>
      </c>
      <c r="I230" s="46" t="s">
        <v>1046</v>
      </c>
      <c r="J230" s="46" t="s">
        <v>1047</v>
      </c>
      <c r="K230" s="46" t="s">
        <v>1047</v>
      </c>
      <c r="L230" s="47" t="s">
        <v>605</v>
      </c>
    </row>
    <row r="231" spans="1:13" ht="14.5">
      <c r="A231" s="45">
        <v>8410</v>
      </c>
      <c r="B231" s="46" t="s">
        <v>509</v>
      </c>
      <c r="C231" s="46" t="s">
        <v>500</v>
      </c>
      <c r="D231" s="46" t="s">
        <v>167</v>
      </c>
      <c r="E231" s="46" t="s">
        <v>169</v>
      </c>
      <c r="F231" s="46" t="s">
        <v>501</v>
      </c>
      <c r="G231" s="46" t="s">
        <v>533</v>
      </c>
      <c r="H231" s="46" t="s">
        <v>506</v>
      </c>
      <c r="I231" s="46" t="s">
        <v>1048</v>
      </c>
      <c r="J231" s="46" t="s">
        <v>1047</v>
      </c>
      <c r="K231" s="46" t="s">
        <v>1047</v>
      </c>
      <c r="L231" s="47" t="s">
        <v>605</v>
      </c>
    </row>
    <row r="232" spans="1:13" ht="14.5">
      <c r="A232" s="45">
        <v>228110</v>
      </c>
      <c r="B232" s="46" t="s">
        <v>518</v>
      </c>
      <c r="C232" s="46" t="s">
        <v>514</v>
      </c>
      <c r="D232" s="46" t="s">
        <v>501</v>
      </c>
      <c r="E232" s="46" t="s">
        <v>501</v>
      </c>
      <c r="F232" s="46" t="s">
        <v>501</v>
      </c>
      <c r="G232" s="46" t="s">
        <v>519</v>
      </c>
      <c r="H232" s="46" t="s">
        <v>520</v>
      </c>
      <c r="I232" s="46" t="s">
        <v>1049</v>
      </c>
      <c r="J232" s="46" t="s">
        <v>1050</v>
      </c>
      <c r="K232" s="46" t="s">
        <v>1050</v>
      </c>
      <c r="L232" s="5" t="s">
        <v>593</v>
      </c>
    </row>
    <row r="233" spans="1:13" ht="14.5">
      <c r="A233" s="45">
        <v>25714</v>
      </c>
      <c r="B233" s="46" t="s">
        <v>509</v>
      </c>
      <c r="C233" s="46" t="s">
        <v>500</v>
      </c>
      <c r="D233" s="46" t="s">
        <v>167</v>
      </c>
      <c r="E233" s="46" t="s">
        <v>289</v>
      </c>
      <c r="F233" s="46" t="s">
        <v>501</v>
      </c>
      <c r="G233" s="46" t="s">
        <v>510</v>
      </c>
      <c r="H233" s="46" t="s">
        <v>511</v>
      </c>
      <c r="I233" s="46" t="s">
        <v>1051</v>
      </c>
      <c r="J233" s="46" t="s">
        <v>1052</v>
      </c>
      <c r="K233" s="46" t="s">
        <v>1052</v>
      </c>
      <c r="L233" s="5" t="s">
        <v>601</v>
      </c>
    </row>
    <row r="234" spans="1:13" ht="14.5">
      <c r="A234" s="45">
        <v>23855</v>
      </c>
      <c r="B234" s="46" t="s">
        <v>499</v>
      </c>
      <c r="C234" s="46" t="s">
        <v>500</v>
      </c>
      <c r="D234" s="46" t="s">
        <v>167</v>
      </c>
      <c r="E234" s="46" t="s">
        <v>169</v>
      </c>
      <c r="F234" s="46" t="s">
        <v>501</v>
      </c>
      <c r="G234" s="46" t="s">
        <v>533</v>
      </c>
      <c r="H234" s="46" t="s">
        <v>506</v>
      </c>
      <c r="I234" s="46" t="s">
        <v>1053</v>
      </c>
      <c r="J234" s="46" t="s">
        <v>1054</v>
      </c>
      <c r="K234" s="46" t="s">
        <v>1055</v>
      </c>
      <c r="L234" s="5" t="s">
        <v>601</v>
      </c>
    </row>
    <row r="235" spans="1:13" ht="14.5">
      <c r="A235" s="45">
        <v>231273</v>
      </c>
      <c r="B235" s="46" t="s">
        <v>513</v>
      </c>
      <c r="C235" s="46" t="s">
        <v>514</v>
      </c>
      <c r="D235" s="46" t="s">
        <v>501</v>
      </c>
      <c r="E235" s="46" t="s">
        <v>521</v>
      </c>
      <c r="F235" s="46" t="s">
        <v>522</v>
      </c>
      <c r="G235" s="46" t="s">
        <v>523</v>
      </c>
      <c r="H235" s="46" t="s">
        <v>524</v>
      </c>
      <c r="I235" s="46" t="s">
        <v>1056</v>
      </c>
      <c r="J235" s="46" t="s">
        <v>1057</v>
      </c>
      <c r="K235" s="46" t="s">
        <v>1058</v>
      </c>
      <c r="L235" s="5" t="s">
        <v>668</v>
      </c>
      <c r="M235" s="48"/>
    </row>
    <row r="236" spans="1:13" ht="14.5">
      <c r="A236" s="45">
        <v>23855</v>
      </c>
      <c r="B236" s="46" t="s">
        <v>499</v>
      </c>
      <c r="C236" s="46" t="s">
        <v>500</v>
      </c>
      <c r="D236" s="46" t="s">
        <v>167</v>
      </c>
      <c r="E236" s="46" t="s">
        <v>169</v>
      </c>
      <c r="F236" s="46" t="s">
        <v>501</v>
      </c>
      <c r="G236" s="46" t="s">
        <v>533</v>
      </c>
      <c r="H236" s="46" t="s">
        <v>506</v>
      </c>
      <c r="I236" s="46" t="s">
        <v>1059</v>
      </c>
      <c r="J236" s="46" t="s">
        <v>1060</v>
      </c>
      <c r="K236" s="46" t="s">
        <v>1055</v>
      </c>
      <c r="L236" s="5" t="s">
        <v>601</v>
      </c>
      <c r="M236" s="48"/>
    </row>
    <row r="237" spans="1:13" ht="14.5">
      <c r="A237" s="45">
        <v>22001</v>
      </c>
      <c r="B237" s="46" t="s">
        <v>518</v>
      </c>
      <c r="C237" s="46" t="s">
        <v>514</v>
      </c>
      <c r="D237" s="46" t="s">
        <v>501</v>
      </c>
      <c r="E237" s="46" t="s">
        <v>501</v>
      </c>
      <c r="F237" s="46" t="s">
        <v>501</v>
      </c>
      <c r="G237" s="46" t="s">
        <v>531</v>
      </c>
      <c r="H237" s="46" t="s">
        <v>503</v>
      </c>
      <c r="I237" s="46" t="s">
        <v>1061</v>
      </c>
      <c r="J237" s="46" t="s">
        <v>1062</v>
      </c>
      <c r="K237" s="46" t="s">
        <v>1055</v>
      </c>
      <c r="L237" s="5" t="s">
        <v>601</v>
      </c>
    </row>
    <row r="238" spans="1:13" ht="14.5">
      <c r="A238" s="45">
        <v>25714</v>
      </c>
      <c r="B238" s="46" t="s">
        <v>509</v>
      </c>
      <c r="C238" s="46" t="s">
        <v>500</v>
      </c>
      <c r="D238" s="46" t="s">
        <v>167</v>
      </c>
      <c r="E238" s="46" t="s">
        <v>289</v>
      </c>
      <c r="F238" s="46" t="s">
        <v>501</v>
      </c>
      <c r="G238" s="46" t="s">
        <v>510</v>
      </c>
      <c r="H238" s="46" t="s">
        <v>511</v>
      </c>
      <c r="I238" s="46" t="s">
        <v>1063</v>
      </c>
      <c r="J238" s="46" t="s">
        <v>1064</v>
      </c>
      <c r="K238" s="46" t="s">
        <v>1055</v>
      </c>
      <c r="L238" s="5" t="s">
        <v>601</v>
      </c>
    </row>
    <row r="239" spans="1:13" ht="14.5">
      <c r="A239" s="45">
        <v>31666</v>
      </c>
      <c r="B239" s="46" t="s">
        <v>499</v>
      </c>
      <c r="C239" s="46" t="s">
        <v>500</v>
      </c>
      <c r="D239" s="46" t="s">
        <v>167</v>
      </c>
      <c r="E239" s="46" t="s">
        <v>289</v>
      </c>
      <c r="F239" s="46" t="s">
        <v>501</v>
      </c>
      <c r="G239" s="46" t="s">
        <v>533</v>
      </c>
      <c r="H239" s="46" t="s">
        <v>506</v>
      </c>
      <c r="I239" s="46" t="s">
        <v>1065</v>
      </c>
      <c r="J239" s="46" t="s">
        <v>1066</v>
      </c>
      <c r="K239" s="46" t="s">
        <v>1067</v>
      </c>
      <c r="L239" s="5" t="s">
        <v>626</v>
      </c>
    </row>
    <row r="240" spans="1:13" ht="14.5">
      <c r="A240" s="45">
        <v>8679</v>
      </c>
      <c r="B240" s="46" t="s">
        <v>532</v>
      </c>
      <c r="C240" s="46" t="s">
        <v>514</v>
      </c>
      <c r="D240" s="46" t="s">
        <v>167</v>
      </c>
      <c r="E240" s="46" t="s">
        <v>169</v>
      </c>
      <c r="F240" s="46" t="s">
        <v>215</v>
      </c>
      <c r="G240" s="46" t="s">
        <v>508</v>
      </c>
      <c r="H240" s="46" t="s">
        <v>506</v>
      </c>
      <c r="I240" s="46" t="s">
        <v>1068</v>
      </c>
      <c r="J240" s="46" t="s">
        <v>1069</v>
      </c>
      <c r="K240" s="46" t="s">
        <v>1067</v>
      </c>
      <c r="L240" s="5" t="s">
        <v>626</v>
      </c>
    </row>
    <row r="241" spans="1:13" ht="14.5">
      <c r="A241" s="45">
        <v>23855</v>
      </c>
      <c r="B241" s="46" t="s">
        <v>499</v>
      </c>
      <c r="C241" s="46" t="s">
        <v>500</v>
      </c>
      <c r="D241" s="46" t="s">
        <v>167</v>
      </c>
      <c r="E241" s="46" t="s">
        <v>169</v>
      </c>
      <c r="F241" s="46" t="s">
        <v>501</v>
      </c>
      <c r="G241" s="46" t="s">
        <v>533</v>
      </c>
      <c r="H241" s="46" t="s">
        <v>506</v>
      </c>
      <c r="I241" s="46" t="s">
        <v>1070</v>
      </c>
      <c r="J241" s="46" t="s">
        <v>1071</v>
      </c>
      <c r="K241" s="46" t="s">
        <v>1067</v>
      </c>
      <c r="L241" s="5" t="s">
        <v>626</v>
      </c>
    </row>
    <row r="242" spans="1:13" ht="14.5">
      <c r="A242" s="45">
        <v>11247</v>
      </c>
      <c r="B242" s="46" t="s">
        <v>509</v>
      </c>
      <c r="C242" s="46" t="s">
        <v>500</v>
      </c>
      <c r="D242" s="46" t="s">
        <v>167</v>
      </c>
      <c r="E242" s="46" t="s">
        <v>366</v>
      </c>
      <c r="F242" s="46" t="s">
        <v>501</v>
      </c>
      <c r="G242" s="46" t="s">
        <v>510</v>
      </c>
      <c r="H242" s="46" t="s">
        <v>511</v>
      </c>
      <c r="I242" s="46" t="s">
        <v>1072</v>
      </c>
      <c r="J242" s="46" t="s">
        <v>1073</v>
      </c>
      <c r="K242" s="46" t="s">
        <v>1073</v>
      </c>
      <c r="L242" s="47" t="s">
        <v>605</v>
      </c>
    </row>
    <row r="243" spans="1:13" ht="14.5">
      <c r="A243" s="45">
        <v>12641</v>
      </c>
      <c r="B243" s="46" t="s">
        <v>513</v>
      </c>
      <c r="C243" s="46" t="s">
        <v>514</v>
      </c>
      <c r="D243" s="46" t="s">
        <v>501</v>
      </c>
      <c r="E243" s="46" t="s">
        <v>501</v>
      </c>
      <c r="F243" s="46" t="s">
        <v>501</v>
      </c>
      <c r="G243" s="46" t="s">
        <v>531</v>
      </c>
      <c r="H243" s="46" t="s">
        <v>503</v>
      </c>
      <c r="I243" s="46" t="s">
        <v>1074</v>
      </c>
      <c r="J243" s="46" t="s">
        <v>1075</v>
      </c>
      <c r="K243" s="46" t="s">
        <v>789</v>
      </c>
      <c r="L243" s="47" t="s">
        <v>584</v>
      </c>
    </row>
    <row r="244" spans="1:13" ht="14.5">
      <c r="A244" s="45">
        <v>127300</v>
      </c>
      <c r="B244" s="46" t="s">
        <v>542</v>
      </c>
      <c r="C244" s="46" t="s">
        <v>514</v>
      </c>
      <c r="D244" s="46" t="s">
        <v>501</v>
      </c>
      <c r="E244" s="46" t="s">
        <v>501</v>
      </c>
      <c r="F244" s="46" t="s">
        <v>501</v>
      </c>
      <c r="G244" s="46" t="s">
        <v>528</v>
      </c>
      <c r="H244" s="46" t="s">
        <v>520</v>
      </c>
      <c r="I244" s="46" t="s">
        <v>1076</v>
      </c>
      <c r="J244" s="46" t="s">
        <v>1077</v>
      </c>
      <c r="K244" s="46" t="s">
        <v>1058</v>
      </c>
      <c r="L244" s="5" t="s">
        <v>668</v>
      </c>
    </row>
    <row r="245" spans="1:13" ht="14.5">
      <c r="A245" s="45">
        <v>228110</v>
      </c>
      <c r="B245" s="46" t="s">
        <v>518</v>
      </c>
      <c r="C245" s="46" t="s">
        <v>514</v>
      </c>
      <c r="D245" s="46" t="s">
        <v>501</v>
      </c>
      <c r="E245" s="46" t="s">
        <v>501</v>
      </c>
      <c r="F245" s="46" t="s">
        <v>501</v>
      </c>
      <c r="G245" s="46" t="s">
        <v>519</v>
      </c>
      <c r="H245" s="46" t="s">
        <v>520</v>
      </c>
      <c r="I245" s="46" t="s">
        <v>1078</v>
      </c>
      <c r="J245" s="46" t="s">
        <v>1079</v>
      </c>
      <c r="K245" s="46" t="s">
        <v>1080</v>
      </c>
      <c r="L245" s="5" t="s">
        <v>614</v>
      </c>
    </row>
    <row r="246" spans="1:13" ht="14.5">
      <c r="A246" s="45">
        <v>14189</v>
      </c>
      <c r="B246" s="46" t="s">
        <v>525</v>
      </c>
      <c r="C246" s="46" t="s">
        <v>514</v>
      </c>
      <c r="D246" s="46" t="s">
        <v>167</v>
      </c>
      <c r="E246" s="46" t="s">
        <v>501</v>
      </c>
      <c r="F246" s="46" t="s">
        <v>501</v>
      </c>
      <c r="G246" s="46" t="s">
        <v>519</v>
      </c>
      <c r="H246" s="46" t="s">
        <v>520</v>
      </c>
      <c r="I246" s="46" t="s">
        <v>1081</v>
      </c>
      <c r="J246" s="46" t="s">
        <v>1082</v>
      </c>
      <c r="K246" s="46" t="s">
        <v>711</v>
      </c>
      <c r="L246" s="5" t="s">
        <v>593</v>
      </c>
    </row>
    <row r="247" spans="1:13" ht="14.5">
      <c r="A247" s="45">
        <v>127300</v>
      </c>
      <c r="B247" s="46" t="s">
        <v>542</v>
      </c>
      <c r="C247" s="46" t="s">
        <v>514</v>
      </c>
      <c r="D247" s="46" t="s">
        <v>501</v>
      </c>
      <c r="E247" s="46" t="s">
        <v>501</v>
      </c>
      <c r="F247" s="46" t="s">
        <v>501</v>
      </c>
      <c r="G247" s="46" t="s">
        <v>528</v>
      </c>
      <c r="H247" s="46" t="s">
        <v>520</v>
      </c>
      <c r="I247" s="46" t="s">
        <v>1083</v>
      </c>
      <c r="J247" s="46" t="s">
        <v>1084</v>
      </c>
      <c r="K247" s="46" t="s">
        <v>1058</v>
      </c>
      <c r="L247" s="5" t="s">
        <v>668</v>
      </c>
    </row>
    <row r="248" spans="1:13" ht="14.5">
      <c r="A248" s="45">
        <v>30061</v>
      </c>
      <c r="B248" s="46" t="s">
        <v>537</v>
      </c>
      <c r="C248" s="46" t="s">
        <v>514</v>
      </c>
      <c r="D248" s="46" t="s">
        <v>501</v>
      </c>
      <c r="E248" s="46" t="s">
        <v>538</v>
      </c>
      <c r="F248" s="46" t="s">
        <v>501</v>
      </c>
      <c r="G248" s="46" t="s">
        <v>510</v>
      </c>
      <c r="H248" s="46" t="s">
        <v>511</v>
      </c>
      <c r="I248" s="46" t="s">
        <v>1085</v>
      </c>
      <c r="J248" s="49" t="s">
        <v>1086</v>
      </c>
      <c r="K248" s="46" t="s">
        <v>604</v>
      </c>
      <c r="L248" s="47" t="s">
        <v>605</v>
      </c>
    </row>
    <row r="249" spans="1:13" ht="14.5">
      <c r="A249" s="45">
        <v>30061</v>
      </c>
      <c r="B249" s="46" t="s">
        <v>537</v>
      </c>
      <c r="C249" s="46" t="s">
        <v>514</v>
      </c>
      <c r="D249" s="46" t="s">
        <v>501</v>
      </c>
      <c r="E249" s="46" t="s">
        <v>538</v>
      </c>
      <c r="F249" s="46" t="s">
        <v>501</v>
      </c>
      <c r="G249" s="46" t="s">
        <v>510</v>
      </c>
      <c r="H249" s="46" t="s">
        <v>511</v>
      </c>
      <c r="I249" s="46" t="s">
        <v>1087</v>
      </c>
      <c r="J249" s="49" t="s">
        <v>1086</v>
      </c>
      <c r="K249" s="46" t="s">
        <v>604</v>
      </c>
      <c r="L249" s="47" t="s">
        <v>605</v>
      </c>
    </row>
    <row r="250" spans="1:13" ht="14.5">
      <c r="A250" s="45">
        <v>323107</v>
      </c>
      <c r="B250" s="46" t="s">
        <v>499</v>
      </c>
      <c r="C250" s="46" t="s">
        <v>500</v>
      </c>
      <c r="D250" s="46" t="s">
        <v>167</v>
      </c>
      <c r="E250" s="46" t="s">
        <v>501</v>
      </c>
      <c r="F250" s="46" t="s">
        <v>501</v>
      </c>
      <c r="G250" s="46" t="s">
        <v>515</v>
      </c>
      <c r="H250" s="46" t="s">
        <v>516</v>
      </c>
      <c r="I250" s="46" t="s">
        <v>1088</v>
      </c>
      <c r="J250" s="46" t="s">
        <v>1089</v>
      </c>
      <c r="K250" s="46" t="s">
        <v>655</v>
      </c>
      <c r="L250" s="5" t="s">
        <v>601</v>
      </c>
    </row>
    <row r="251" spans="1:13" ht="14.5">
      <c r="A251" s="45">
        <v>11247</v>
      </c>
      <c r="B251" s="46" t="s">
        <v>509</v>
      </c>
      <c r="C251" s="46" t="s">
        <v>500</v>
      </c>
      <c r="D251" s="46" t="s">
        <v>167</v>
      </c>
      <c r="E251" s="46" t="s">
        <v>366</v>
      </c>
      <c r="F251" s="46" t="s">
        <v>501</v>
      </c>
      <c r="G251" s="46" t="s">
        <v>510</v>
      </c>
      <c r="H251" s="46" t="s">
        <v>511</v>
      </c>
      <c r="I251" s="46" t="s">
        <v>1090</v>
      </c>
      <c r="J251" s="46" t="s">
        <v>1091</v>
      </c>
      <c r="K251" s="46" t="s">
        <v>1091</v>
      </c>
      <c r="L251" s="47" t="s">
        <v>605</v>
      </c>
      <c r="M251" s="48"/>
    </row>
    <row r="252" spans="1:13" ht="14.5">
      <c r="A252" s="45">
        <v>234758</v>
      </c>
      <c r="B252" s="46" t="s">
        <v>507</v>
      </c>
      <c r="C252" s="46" t="s">
        <v>500</v>
      </c>
      <c r="D252" s="46" t="s">
        <v>501</v>
      </c>
      <c r="E252" s="46" t="s">
        <v>169</v>
      </c>
      <c r="F252" s="46" t="s">
        <v>522</v>
      </c>
      <c r="G252" s="46" t="s">
        <v>510</v>
      </c>
      <c r="H252" s="46" t="s">
        <v>511</v>
      </c>
      <c r="I252" s="46" t="s">
        <v>1092</v>
      </c>
      <c r="J252" s="46" t="s">
        <v>1093</v>
      </c>
      <c r="K252" s="46" t="s">
        <v>897</v>
      </c>
      <c r="L252" s="5" t="s">
        <v>701</v>
      </c>
      <c r="M252" s="48"/>
    </row>
    <row r="253" spans="1:13" ht="14.5">
      <c r="A253" s="45">
        <v>3017</v>
      </c>
      <c r="B253" s="46" t="s">
        <v>525</v>
      </c>
      <c r="C253" s="46" t="s">
        <v>514</v>
      </c>
      <c r="D253" s="46" t="s">
        <v>167</v>
      </c>
      <c r="E253" s="46" t="s">
        <v>501</v>
      </c>
      <c r="F253" s="46" t="s">
        <v>501</v>
      </c>
      <c r="G253" s="46" t="s">
        <v>519</v>
      </c>
      <c r="H253" s="46" t="s">
        <v>520</v>
      </c>
      <c r="I253" s="46" t="s">
        <v>1094</v>
      </c>
      <c r="J253" s="46" t="s">
        <v>1095</v>
      </c>
      <c r="K253" s="46" t="s">
        <v>897</v>
      </c>
      <c r="L253" s="5" t="s">
        <v>701</v>
      </c>
      <c r="M253" s="48"/>
    </row>
    <row r="254" spans="1:13" ht="14.5">
      <c r="A254" s="45">
        <v>31614</v>
      </c>
      <c r="B254" s="46" t="s">
        <v>507</v>
      </c>
      <c r="C254" s="46" t="s">
        <v>500</v>
      </c>
      <c r="D254" s="46" t="s">
        <v>167</v>
      </c>
      <c r="E254" s="46" t="s">
        <v>169</v>
      </c>
      <c r="F254" s="46" t="s">
        <v>501</v>
      </c>
      <c r="G254" s="46" t="s">
        <v>508</v>
      </c>
      <c r="H254" s="46" t="s">
        <v>506</v>
      </c>
      <c r="I254" s="46" t="s">
        <v>1096</v>
      </c>
      <c r="J254" s="46" t="s">
        <v>1097</v>
      </c>
      <c r="K254" s="46" t="s">
        <v>897</v>
      </c>
      <c r="L254" s="5" t="s">
        <v>701</v>
      </c>
      <c r="M254" s="48"/>
    </row>
    <row r="255" spans="1:13" ht="14.5">
      <c r="A255" s="45">
        <v>3017</v>
      </c>
      <c r="B255" s="46" t="s">
        <v>525</v>
      </c>
      <c r="C255" s="46" t="s">
        <v>514</v>
      </c>
      <c r="D255" s="46" t="s">
        <v>167</v>
      </c>
      <c r="E255" s="46" t="s">
        <v>501</v>
      </c>
      <c r="F255" s="46" t="s">
        <v>501</v>
      </c>
      <c r="G255" s="46" t="s">
        <v>519</v>
      </c>
      <c r="H255" s="46" t="s">
        <v>520</v>
      </c>
      <c r="I255" s="46" t="s">
        <v>1098</v>
      </c>
      <c r="J255" s="46" t="s">
        <v>1099</v>
      </c>
      <c r="K255" s="46" t="s">
        <v>838</v>
      </c>
      <c r="L255" s="47" t="s">
        <v>584</v>
      </c>
      <c r="M255" s="48"/>
    </row>
    <row r="256" spans="1:13" ht="14.5">
      <c r="A256" s="45">
        <v>127300</v>
      </c>
      <c r="B256" s="46" t="s">
        <v>542</v>
      </c>
      <c r="C256" s="46" t="s">
        <v>514</v>
      </c>
      <c r="D256" s="46" t="s">
        <v>501</v>
      </c>
      <c r="E256" s="46" t="s">
        <v>501</v>
      </c>
      <c r="F256" s="46" t="s">
        <v>501</v>
      </c>
      <c r="G256" s="46" t="s">
        <v>528</v>
      </c>
      <c r="H256" s="46" t="s">
        <v>520</v>
      </c>
      <c r="I256" s="46" t="s">
        <v>1100</v>
      </c>
      <c r="J256" s="46" t="s">
        <v>1101</v>
      </c>
      <c r="K256" s="46" t="s">
        <v>1058</v>
      </c>
      <c r="L256" s="5" t="s">
        <v>668</v>
      </c>
    </row>
    <row r="257" spans="1:13" ht="14.5">
      <c r="A257" s="45">
        <v>560</v>
      </c>
      <c r="B257" s="46" t="s">
        <v>537</v>
      </c>
      <c r="C257" s="46" t="s">
        <v>514</v>
      </c>
      <c r="D257" s="46" t="s">
        <v>167</v>
      </c>
      <c r="E257" s="46" t="s">
        <v>366</v>
      </c>
      <c r="F257" s="46" t="s">
        <v>215</v>
      </c>
      <c r="G257" s="46" t="s">
        <v>502</v>
      </c>
      <c r="H257" s="46" t="s">
        <v>503</v>
      </c>
      <c r="I257" s="46" t="s">
        <v>1102</v>
      </c>
      <c r="J257" s="49" t="s">
        <v>1101</v>
      </c>
      <c r="K257" s="46" t="s">
        <v>1058</v>
      </c>
      <c r="L257" s="5" t="s">
        <v>668</v>
      </c>
    </row>
    <row r="258" spans="1:13" ht="14.5">
      <c r="A258" s="45">
        <v>22001</v>
      </c>
      <c r="B258" s="46" t="s">
        <v>518</v>
      </c>
      <c r="C258" s="46" t="s">
        <v>514</v>
      </c>
      <c r="D258" s="46" t="s">
        <v>501</v>
      </c>
      <c r="E258" s="46" t="s">
        <v>501</v>
      </c>
      <c r="F258" s="46" t="s">
        <v>501</v>
      </c>
      <c r="G258" s="46" t="s">
        <v>531</v>
      </c>
      <c r="H258" s="46" t="s">
        <v>503</v>
      </c>
      <c r="I258" s="46" t="s">
        <v>1103</v>
      </c>
      <c r="J258" s="46" t="s">
        <v>1104</v>
      </c>
      <c r="K258" s="46" t="s">
        <v>1105</v>
      </c>
      <c r="L258" s="47" t="s">
        <v>605</v>
      </c>
    </row>
    <row r="259" spans="1:13" ht="14.5">
      <c r="A259" s="45">
        <v>25196</v>
      </c>
      <c r="B259" s="46" t="s">
        <v>499</v>
      </c>
      <c r="C259" s="46" t="s">
        <v>500</v>
      </c>
      <c r="D259" s="46" t="s">
        <v>394</v>
      </c>
      <c r="E259" s="46" t="s">
        <v>501</v>
      </c>
      <c r="F259" s="46" t="s">
        <v>501</v>
      </c>
      <c r="G259" s="46" t="s">
        <v>515</v>
      </c>
      <c r="H259" s="46" t="s">
        <v>516</v>
      </c>
      <c r="I259" s="46" t="s">
        <v>1106</v>
      </c>
      <c r="J259" s="46" t="s">
        <v>1107</v>
      </c>
      <c r="K259" s="46" t="s">
        <v>1107</v>
      </c>
      <c r="L259" s="5" t="s">
        <v>668</v>
      </c>
    </row>
    <row r="260" spans="1:13" ht="14.5">
      <c r="A260" s="45">
        <v>25196</v>
      </c>
      <c r="B260" s="46" t="s">
        <v>499</v>
      </c>
      <c r="C260" s="46" t="s">
        <v>500</v>
      </c>
      <c r="D260" s="46" t="s">
        <v>394</v>
      </c>
      <c r="E260" s="46" t="s">
        <v>501</v>
      </c>
      <c r="F260" s="46" t="s">
        <v>501</v>
      </c>
      <c r="G260" s="46" t="s">
        <v>515</v>
      </c>
      <c r="H260" s="46" t="s">
        <v>516</v>
      </c>
      <c r="I260" s="46" t="s">
        <v>1108</v>
      </c>
      <c r="J260" s="46" t="s">
        <v>1107</v>
      </c>
      <c r="K260" s="46" t="s">
        <v>1107</v>
      </c>
      <c r="L260" s="5" t="s">
        <v>668</v>
      </c>
    </row>
    <row r="261" spans="1:13" ht="14.5">
      <c r="A261" s="45">
        <v>22001</v>
      </c>
      <c r="B261" s="46" t="s">
        <v>518</v>
      </c>
      <c r="C261" s="46" t="s">
        <v>514</v>
      </c>
      <c r="D261" s="46" t="s">
        <v>501</v>
      </c>
      <c r="E261" s="46" t="s">
        <v>501</v>
      </c>
      <c r="F261" s="46" t="s">
        <v>501</v>
      </c>
      <c r="G261" s="46" t="s">
        <v>531</v>
      </c>
      <c r="H261" s="46" t="s">
        <v>503</v>
      </c>
      <c r="I261" s="46" t="s">
        <v>1109</v>
      </c>
      <c r="J261" s="46" t="s">
        <v>1110</v>
      </c>
      <c r="K261" s="46" t="s">
        <v>998</v>
      </c>
      <c r="L261" s="47" t="s">
        <v>584</v>
      </c>
    </row>
    <row r="262" spans="1:13" ht="14.5">
      <c r="A262" s="45">
        <v>8679</v>
      </c>
      <c r="B262" s="46" t="s">
        <v>532</v>
      </c>
      <c r="C262" s="46" t="s">
        <v>514</v>
      </c>
      <c r="D262" s="46" t="s">
        <v>167</v>
      </c>
      <c r="E262" s="46" t="s">
        <v>169</v>
      </c>
      <c r="F262" s="46" t="s">
        <v>215</v>
      </c>
      <c r="G262" s="46" t="s">
        <v>508</v>
      </c>
      <c r="H262" s="46" t="s">
        <v>506</v>
      </c>
      <c r="I262" s="46" t="s">
        <v>1111</v>
      </c>
      <c r="J262" s="46" t="s">
        <v>1112</v>
      </c>
      <c r="K262" s="46" t="s">
        <v>863</v>
      </c>
      <c r="L262" s="5" t="s">
        <v>668</v>
      </c>
      <c r="M262" s="48"/>
    </row>
    <row r="263" spans="1:13" ht="14.5">
      <c r="A263" s="45">
        <v>31614</v>
      </c>
      <c r="B263" s="46" t="s">
        <v>507</v>
      </c>
      <c r="C263" s="46" t="s">
        <v>500</v>
      </c>
      <c r="D263" s="46" t="s">
        <v>167</v>
      </c>
      <c r="E263" s="46" t="s">
        <v>169</v>
      </c>
      <c r="F263" s="46" t="s">
        <v>501</v>
      </c>
      <c r="G263" s="46" t="s">
        <v>508</v>
      </c>
      <c r="H263" s="46" t="s">
        <v>506</v>
      </c>
      <c r="I263" s="46" t="s">
        <v>1113</v>
      </c>
      <c r="J263" s="46" t="s">
        <v>1114</v>
      </c>
      <c r="K263" s="46" t="s">
        <v>1058</v>
      </c>
      <c r="L263" s="5" t="s">
        <v>668</v>
      </c>
      <c r="M263" s="48"/>
    </row>
  </sheetData>
  <autoFilter ref="A1:L263" xr:uid="{00000000-0009-0000-0000-000012000000}"/>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B89"/>
  <sheetViews>
    <sheetView showGridLines="0" workbookViewId="0"/>
  </sheetViews>
  <sheetFormatPr defaultColWidth="12.6328125" defaultRowHeight="15.75" customHeight="1"/>
  <cols>
    <col min="1" max="1" width="40.26953125" customWidth="1"/>
    <col min="2" max="2" width="54.08984375" customWidth="1"/>
  </cols>
  <sheetData>
    <row r="1" spans="1:2" ht="15.75" customHeight="1">
      <c r="A1" s="50" t="s">
        <v>579</v>
      </c>
      <c r="B1" s="51" t="s">
        <v>1127</v>
      </c>
    </row>
    <row r="2" spans="1:2" ht="15.75" customHeight="1">
      <c r="A2" s="52" t="s">
        <v>587</v>
      </c>
      <c r="B2" s="53">
        <v>10</v>
      </c>
    </row>
    <row r="3" spans="1:2" ht="15.75" customHeight="1">
      <c r="A3" s="54" t="s">
        <v>592</v>
      </c>
      <c r="B3" s="55">
        <v>1</v>
      </c>
    </row>
    <row r="4" spans="1:2" ht="15.75" customHeight="1">
      <c r="A4" s="54" t="s">
        <v>595</v>
      </c>
      <c r="B4" s="55">
        <v>1</v>
      </c>
    </row>
    <row r="5" spans="1:2" ht="15.75" customHeight="1">
      <c r="A5" s="54" t="s">
        <v>597</v>
      </c>
      <c r="B5" s="55">
        <v>1</v>
      </c>
    </row>
    <row r="6" spans="1:2" ht="15.75" customHeight="1">
      <c r="A6" s="54" t="s">
        <v>598</v>
      </c>
      <c r="B6" s="55">
        <v>3</v>
      </c>
    </row>
    <row r="7" spans="1:2" ht="15.75" customHeight="1">
      <c r="A7" s="54" t="s">
        <v>600</v>
      </c>
      <c r="B7" s="55">
        <v>1</v>
      </c>
    </row>
    <row r="8" spans="1:2" ht="15.75" customHeight="1">
      <c r="A8" s="54" t="s">
        <v>616</v>
      </c>
      <c r="B8" s="55">
        <v>1</v>
      </c>
    </row>
    <row r="9" spans="1:2" ht="15.75" customHeight="1">
      <c r="A9" s="54" t="s">
        <v>625</v>
      </c>
      <c r="B9" s="55">
        <v>1</v>
      </c>
    </row>
    <row r="10" spans="1:2" ht="15.75" customHeight="1">
      <c r="A10" s="54" t="s">
        <v>637</v>
      </c>
      <c r="B10" s="55">
        <v>2</v>
      </c>
    </row>
    <row r="11" spans="1:2" ht="15.75" customHeight="1">
      <c r="A11" s="54" t="s">
        <v>613</v>
      </c>
      <c r="B11" s="55">
        <v>7</v>
      </c>
    </row>
    <row r="12" spans="1:2" ht="15.75" customHeight="1">
      <c r="A12" s="54" t="s">
        <v>649</v>
      </c>
      <c r="B12" s="55">
        <v>1</v>
      </c>
    </row>
    <row r="13" spans="1:2" ht="15.75" customHeight="1">
      <c r="A13" s="54" t="s">
        <v>661</v>
      </c>
      <c r="B13" s="55">
        <v>6</v>
      </c>
    </row>
    <row r="14" spans="1:2" ht="15.75" customHeight="1">
      <c r="A14" s="54" t="s">
        <v>737</v>
      </c>
      <c r="B14" s="55">
        <v>1</v>
      </c>
    </row>
    <row r="15" spans="1:2" ht="15.75" customHeight="1">
      <c r="A15" s="54" t="s">
        <v>675</v>
      </c>
      <c r="B15" s="55">
        <v>1</v>
      </c>
    </row>
    <row r="16" spans="1:2" ht="15.75" customHeight="1">
      <c r="A16" s="54" t="s">
        <v>687</v>
      </c>
      <c r="B16" s="55">
        <v>1</v>
      </c>
    </row>
    <row r="17" spans="1:2" ht="15.75" customHeight="1">
      <c r="A17" s="54" t="s">
        <v>691</v>
      </c>
      <c r="B17" s="55">
        <v>1</v>
      </c>
    </row>
    <row r="18" spans="1:2" ht="15.75" customHeight="1">
      <c r="A18" s="54" t="s">
        <v>700</v>
      </c>
      <c r="B18" s="55">
        <v>3</v>
      </c>
    </row>
    <row r="19" spans="1:2" ht="15.75" customHeight="1">
      <c r="A19" s="54" t="s">
        <v>713</v>
      </c>
      <c r="B19" s="55">
        <v>1</v>
      </c>
    </row>
    <row r="20" spans="1:2" ht="15.75" customHeight="1">
      <c r="A20" s="54" t="s">
        <v>716</v>
      </c>
      <c r="B20" s="55">
        <v>1</v>
      </c>
    </row>
    <row r="21" spans="1:2" ht="15.75" customHeight="1">
      <c r="A21" s="54" t="s">
        <v>667</v>
      </c>
      <c r="B21" s="55">
        <v>8</v>
      </c>
    </row>
    <row r="22" spans="1:2" ht="12.5">
      <c r="A22" s="54" t="s">
        <v>727</v>
      </c>
      <c r="B22" s="55">
        <v>1</v>
      </c>
    </row>
    <row r="23" spans="1:2" ht="12.5">
      <c r="A23" s="54" t="s">
        <v>631</v>
      </c>
      <c r="B23" s="55">
        <v>2</v>
      </c>
    </row>
    <row r="24" spans="1:2" ht="12.5">
      <c r="A24" s="54" t="s">
        <v>719</v>
      </c>
      <c r="B24" s="55">
        <v>4</v>
      </c>
    </row>
    <row r="25" spans="1:2" ht="12.5">
      <c r="A25" s="54" t="s">
        <v>741</v>
      </c>
      <c r="B25" s="55">
        <v>2</v>
      </c>
    </row>
    <row r="26" spans="1:2" ht="12.5">
      <c r="A26" s="54" t="s">
        <v>748</v>
      </c>
      <c r="B26" s="55">
        <v>7</v>
      </c>
    </row>
    <row r="27" spans="1:2" ht="12.5">
      <c r="A27" s="54" t="s">
        <v>760</v>
      </c>
      <c r="B27" s="55">
        <v>1</v>
      </c>
    </row>
    <row r="28" spans="1:2" ht="12.5">
      <c r="A28" s="54" t="s">
        <v>694</v>
      </c>
      <c r="B28" s="55">
        <v>5</v>
      </c>
    </row>
    <row r="29" spans="1:2" ht="12.5">
      <c r="A29" s="54" t="s">
        <v>764</v>
      </c>
      <c r="B29" s="55">
        <v>1</v>
      </c>
    </row>
    <row r="30" spans="1:2" ht="12.5">
      <c r="A30" s="54" t="s">
        <v>678</v>
      </c>
      <c r="B30" s="55">
        <v>7</v>
      </c>
    </row>
    <row r="31" spans="1:2" ht="12.5">
      <c r="A31" s="54" t="s">
        <v>778</v>
      </c>
      <c r="B31" s="55">
        <v>1</v>
      </c>
    </row>
    <row r="32" spans="1:2" ht="12.5">
      <c r="A32" s="54" t="s">
        <v>780</v>
      </c>
      <c r="B32" s="55">
        <v>1</v>
      </c>
    </row>
    <row r="33" spans="1:2" ht="12.5">
      <c r="A33" s="54" t="s">
        <v>878</v>
      </c>
      <c r="B33" s="55">
        <v>2</v>
      </c>
    </row>
    <row r="34" spans="1:2" ht="12.5">
      <c r="A34" s="54" t="s">
        <v>799</v>
      </c>
      <c r="B34" s="55">
        <v>1</v>
      </c>
    </row>
    <row r="35" spans="1:2" ht="12.5">
      <c r="A35" s="54" t="s">
        <v>745</v>
      </c>
      <c r="B35" s="55">
        <v>5</v>
      </c>
    </row>
    <row r="36" spans="1:2" ht="12.5">
      <c r="A36" s="54" t="s">
        <v>634</v>
      </c>
      <c r="B36" s="55">
        <v>5</v>
      </c>
    </row>
    <row r="37" spans="1:2" ht="12.5">
      <c r="A37" s="54" t="s">
        <v>826</v>
      </c>
      <c r="B37" s="55">
        <v>1</v>
      </c>
    </row>
    <row r="38" spans="1:2" ht="12.5">
      <c r="A38" s="54" t="s">
        <v>863</v>
      </c>
      <c r="B38" s="55">
        <v>5</v>
      </c>
    </row>
    <row r="39" spans="1:2" ht="12.5">
      <c r="A39" s="54" t="s">
        <v>620</v>
      </c>
      <c r="B39" s="55">
        <v>7</v>
      </c>
    </row>
    <row r="40" spans="1:2" ht="12.5">
      <c r="A40" s="54" t="s">
        <v>853</v>
      </c>
      <c r="B40" s="55">
        <v>1</v>
      </c>
    </row>
    <row r="41" spans="1:2" ht="12.5">
      <c r="A41" s="54" t="s">
        <v>857</v>
      </c>
      <c r="B41" s="55">
        <v>1</v>
      </c>
    </row>
    <row r="42" spans="1:2" ht="12.5">
      <c r="A42" s="54" t="s">
        <v>671</v>
      </c>
      <c r="B42" s="55">
        <v>6</v>
      </c>
    </row>
    <row r="43" spans="1:2" ht="12.5">
      <c r="A43" s="54" t="s">
        <v>869</v>
      </c>
      <c r="B43" s="55">
        <v>2</v>
      </c>
    </row>
    <row r="44" spans="1:2" ht="12.5">
      <c r="A44" s="54" t="s">
        <v>873</v>
      </c>
      <c r="B44" s="55">
        <v>1</v>
      </c>
    </row>
    <row r="45" spans="1:2" ht="12.5">
      <c r="A45" s="54" t="s">
        <v>822</v>
      </c>
      <c r="B45" s="55">
        <v>7</v>
      </c>
    </row>
    <row r="46" spans="1:2" ht="12.5">
      <c r="A46" s="54" t="s">
        <v>894</v>
      </c>
      <c r="B46" s="55">
        <v>1</v>
      </c>
    </row>
    <row r="47" spans="1:2" ht="12.5">
      <c r="A47" s="54" t="s">
        <v>640</v>
      </c>
      <c r="B47" s="55">
        <v>7</v>
      </c>
    </row>
    <row r="48" spans="1:2" ht="12.5">
      <c r="A48" s="54" t="s">
        <v>758</v>
      </c>
      <c r="B48" s="55">
        <v>3</v>
      </c>
    </row>
    <row r="49" spans="1:2" ht="12.5">
      <c r="A49" s="54" t="s">
        <v>906</v>
      </c>
      <c r="B49" s="55">
        <v>1</v>
      </c>
    </row>
    <row r="50" spans="1:2" ht="12.5">
      <c r="A50" s="54" t="s">
        <v>829</v>
      </c>
      <c r="B50" s="55">
        <v>2</v>
      </c>
    </row>
    <row r="51" spans="1:2" ht="12.5">
      <c r="A51" s="54" t="s">
        <v>685</v>
      </c>
      <c r="B51" s="55">
        <v>3</v>
      </c>
    </row>
    <row r="52" spans="1:2" ht="12.5">
      <c r="A52" s="54" t="s">
        <v>920</v>
      </c>
      <c r="B52" s="55">
        <v>2</v>
      </c>
    </row>
    <row r="53" spans="1:2" ht="12.5">
      <c r="A53" s="54" t="s">
        <v>924</v>
      </c>
      <c r="B53" s="55">
        <v>1</v>
      </c>
    </row>
    <row r="54" spans="1:2" ht="12.5">
      <c r="A54" s="54" t="s">
        <v>789</v>
      </c>
      <c r="B54" s="55">
        <v>3</v>
      </c>
    </row>
    <row r="55" spans="1:2" ht="12.5">
      <c r="A55" s="54" t="s">
        <v>819</v>
      </c>
      <c r="B55" s="55">
        <v>4</v>
      </c>
    </row>
    <row r="56" spans="1:2" ht="12.5">
      <c r="A56" s="54" t="s">
        <v>934</v>
      </c>
      <c r="B56" s="55">
        <v>1</v>
      </c>
    </row>
    <row r="57" spans="1:2" ht="12.5">
      <c r="A57" s="54" t="s">
        <v>881</v>
      </c>
      <c r="B57" s="55">
        <v>5</v>
      </c>
    </row>
    <row r="58" spans="1:2" ht="12.5">
      <c r="A58" s="54" t="s">
        <v>952</v>
      </c>
      <c r="B58" s="55">
        <v>1</v>
      </c>
    </row>
    <row r="59" spans="1:2" ht="12.5">
      <c r="A59" s="54" t="s">
        <v>945</v>
      </c>
      <c r="B59" s="55">
        <v>1</v>
      </c>
    </row>
    <row r="60" spans="1:2" ht="12.5">
      <c r="A60" s="54" t="s">
        <v>897</v>
      </c>
      <c r="B60" s="55">
        <v>6</v>
      </c>
    </row>
    <row r="61" spans="1:2" ht="12.5">
      <c r="A61" s="54" t="s">
        <v>953</v>
      </c>
      <c r="B61" s="55">
        <v>1</v>
      </c>
    </row>
    <row r="62" spans="1:2" ht="12.5">
      <c r="A62" s="54" t="s">
        <v>652</v>
      </c>
      <c r="B62" s="55">
        <v>5</v>
      </c>
    </row>
    <row r="63" spans="1:2" ht="12.5">
      <c r="A63" s="54" t="s">
        <v>971</v>
      </c>
      <c r="B63" s="55">
        <v>1</v>
      </c>
    </row>
    <row r="64" spans="1:2" ht="12.5">
      <c r="A64" s="54" t="s">
        <v>842</v>
      </c>
      <c r="B64" s="55">
        <v>4</v>
      </c>
    </row>
    <row r="65" spans="1:2" ht="12.5">
      <c r="A65" s="54" t="s">
        <v>988</v>
      </c>
      <c r="B65" s="55">
        <v>1</v>
      </c>
    </row>
    <row r="66" spans="1:2" ht="12.5">
      <c r="A66" s="54" t="s">
        <v>1005</v>
      </c>
      <c r="B66" s="55">
        <v>4</v>
      </c>
    </row>
    <row r="67" spans="1:2" ht="12.5">
      <c r="A67" s="54" t="s">
        <v>1013</v>
      </c>
      <c r="B67" s="55">
        <v>1</v>
      </c>
    </row>
    <row r="68" spans="1:2" ht="12.5">
      <c r="A68" s="54" t="s">
        <v>838</v>
      </c>
      <c r="B68" s="55">
        <v>7</v>
      </c>
    </row>
    <row r="69" spans="1:2" ht="12.5">
      <c r="A69" s="54" t="s">
        <v>1028</v>
      </c>
      <c r="B69" s="55">
        <v>1</v>
      </c>
    </row>
    <row r="70" spans="1:2" ht="12.5">
      <c r="A70" s="54" t="s">
        <v>708</v>
      </c>
      <c r="B70" s="55">
        <v>9</v>
      </c>
    </row>
    <row r="71" spans="1:2" ht="12.5">
      <c r="A71" s="54" t="s">
        <v>1080</v>
      </c>
      <c r="B71" s="55">
        <v>1</v>
      </c>
    </row>
    <row r="72" spans="1:2" ht="12.5">
      <c r="A72" s="54" t="s">
        <v>860</v>
      </c>
      <c r="B72" s="55">
        <v>1</v>
      </c>
    </row>
    <row r="73" spans="1:2" ht="12.5">
      <c r="A73" s="54" t="s">
        <v>583</v>
      </c>
      <c r="B73" s="55">
        <v>4</v>
      </c>
    </row>
    <row r="74" spans="1:2" ht="12.5">
      <c r="A74" s="54" t="s">
        <v>998</v>
      </c>
      <c r="B74" s="55">
        <v>2</v>
      </c>
    </row>
    <row r="75" spans="1:2" ht="12.5">
      <c r="A75" s="54" t="s">
        <v>1047</v>
      </c>
      <c r="B75" s="55">
        <v>2</v>
      </c>
    </row>
    <row r="76" spans="1:2" ht="12.5">
      <c r="A76" s="54" t="s">
        <v>1050</v>
      </c>
      <c r="B76" s="55">
        <v>1</v>
      </c>
    </row>
    <row r="77" spans="1:2" ht="12.5">
      <c r="A77" s="54" t="s">
        <v>1052</v>
      </c>
      <c r="B77" s="55">
        <v>1</v>
      </c>
    </row>
    <row r="78" spans="1:2" ht="12.5">
      <c r="A78" s="54" t="s">
        <v>1055</v>
      </c>
      <c r="B78" s="55">
        <v>4</v>
      </c>
    </row>
    <row r="79" spans="1:2" ht="12.5">
      <c r="A79" s="54" t="s">
        <v>771</v>
      </c>
      <c r="B79" s="55">
        <v>5</v>
      </c>
    </row>
    <row r="80" spans="1:2" ht="12.5">
      <c r="A80" s="54" t="s">
        <v>1067</v>
      </c>
      <c r="B80" s="55">
        <v>3</v>
      </c>
    </row>
    <row r="81" spans="1:2" ht="12.5">
      <c r="A81" s="54" t="s">
        <v>1073</v>
      </c>
      <c r="B81" s="55">
        <v>1</v>
      </c>
    </row>
    <row r="82" spans="1:2" ht="12.5">
      <c r="A82" s="54" t="s">
        <v>604</v>
      </c>
      <c r="B82" s="55">
        <v>9</v>
      </c>
    </row>
    <row r="83" spans="1:2" ht="12.5">
      <c r="A83" s="54" t="s">
        <v>655</v>
      </c>
      <c r="B83" s="55">
        <v>5</v>
      </c>
    </row>
    <row r="84" spans="1:2" ht="12.5">
      <c r="A84" s="54" t="s">
        <v>1091</v>
      </c>
      <c r="B84" s="55">
        <v>1</v>
      </c>
    </row>
    <row r="85" spans="1:2" ht="12.5">
      <c r="A85" s="54" t="s">
        <v>1105</v>
      </c>
      <c r="B85" s="55">
        <v>1</v>
      </c>
    </row>
    <row r="86" spans="1:2" ht="12.5">
      <c r="A86" s="54" t="s">
        <v>1107</v>
      </c>
      <c r="B86" s="55">
        <v>2</v>
      </c>
    </row>
    <row r="87" spans="1:2" ht="12.5">
      <c r="A87" s="54" t="s">
        <v>1058</v>
      </c>
      <c r="B87" s="55">
        <v>6</v>
      </c>
    </row>
    <row r="88" spans="1:2" ht="12.5">
      <c r="A88" s="54" t="s">
        <v>734</v>
      </c>
      <c r="B88" s="55">
        <v>1</v>
      </c>
    </row>
    <row r="89" spans="1:2" ht="12.5">
      <c r="A89" s="56" t="s">
        <v>711</v>
      </c>
      <c r="B89" s="57">
        <v>9</v>
      </c>
    </row>
  </sheetData>
  <printOptions horizontalCentered="1" gridLines="1"/>
  <pageMargins left="0.7" right="0.7" top="0.75" bottom="0.75" header="0" footer="0"/>
  <pageSetup paperSize="9"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E12"/>
  <sheetViews>
    <sheetView showGridLines="0" tabSelected="1" workbookViewId="0"/>
  </sheetViews>
  <sheetFormatPr defaultColWidth="12.6328125" defaultRowHeight="15.75" customHeight="1"/>
  <cols>
    <col min="1" max="1" width="40.26953125" customWidth="1"/>
    <col min="2" max="2" width="54.08984375" customWidth="1"/>
  </cols>
  <sheetData>
    <row r="1" spans="1:5" ht="15.75" customHeight="1">
      <c r="A1" s="5" t="s">
        <v>580</v>
      </c>
      <c r="B1" s="5" t="s">
        <v>579</v>
      </c>
      <c r="C1" s="5" t="s">
        <v>1115</v>
      </c>
      <c r="D1" s="5" t="s">
        <v>1116</v>
      </c>
      <c r="E1" s="5" t="s">
        <v>1116</v>
      </c>
    </row>
    <row r="2" spans="1:5" ht="15.75" customHeight="1">
      <c r="A2" s="5" t="s">
        <v>1117</v>
      </c>
      <c r="B2" s="5"/>
      <c r="C2" s="5">
        <v>15</v>
      </c>
      <c r="D2" s="5">
        <v>41</v>
      </c>
      <c r="E2" s="43">
        <v>0.15648854961832062</v>
      </c>
    </row>
    <row r="3" spans="1:5" ht="15.75" customHeight="1">
      <c r="A3" s="5" t="s">
        <v>1118</v>
      </c>
      <c r="B3" s="5"/>
      <c r="C3" s="5">
        <v>11</v>
      </c>
      <c r="D3" s="5">
        <v>39</v>
      </c>
      <c r="E3" s="43">
        <v>0.14885496183206107</v>
      </c>
    </row>
    <row r="4" spans="1:5" ht="15.75" customHeight="1">
      <c r="A4" s="5" t="s">
        <v>1119</v>
      </c>
      <c r="B4" s="5"/>
      <c r="C4" s="5">
        <v>13</v>
      </c>
      <c r="D4" s="5">
        <v>36</v>
      </c>
      <c r="E4" s="43">
        <v>0.13740458015267176</v>
      </c>
    </row>
    <row r="5" spans="1:5" ht="15.75" customHeight="1">
      <c r="A5" s="5" t="s">
        <v>1120</v>
      </c>
      <c r="B5" s="5"/>
      <c r="C5" s="5">
        <v>11</v>
      </c>
      <c r="D5" s="5">
        <v>32</v>
      </c>
      <c r="E5" s="43">
        <v>0.12213740458015267</v>
      </c>
    </row>
    <row r="6" spans="1:5" ht="15.75" customHeight="1">
      <c r="A6" s="5" t="s">
        <v>1121</v>
      </c>
      <c r="B6" s="5"/>
      <c r="C6" s="5">
        <v>6</v>
      </c>
      <c r="D6" s="5">
        <v>28</v>
      </c>
      <c r="E6" s="43">
        <v>0.10687022900763359</v>
      </c>
    </row>
    <row r="7" spans="1:5" ht="15.75" customHeight="1">
      <c r="A7" s="5" t="s">
        <v>1122</v>
      </c>
      <c r="B7" s="5"/>
      <c r="C7" s="5">
        <v>9</v>
      </c>
      <c r="D7" s="5">
        <v>25</v>
      </c>
      <c r="E7" s="43">
        <v>9.5419847328244281E-2</v>
      </c>
    </row>
    <row r="8" spans="1:5" ht="15.75" customHeight="1">
      <c r="A8" s="5" t="s">
        <v>1123</v>
      </c>
      <c r="B8" s="5"/>
      <c r="C8" s="5">
        <v>7</v>
      </c>
      <c r="D8" s="5">
        <v>22</v>
      </c>
      <c r="E8" s="43">
        <v>8.3969465648854963E-2</v>
      </c>
    </row>
    <row r="9" spans="1:5" ht="15.75" customHeight="1">
      <c r="A9" s="5" t="s">
        <v>1124</v>
      </c>
      <c r="B9" s="5"/>
      <c r="C9" s="5">
        <v>8</v>
      </c>
      <c r="D9" s="5">
        <v>18</v>
      </c>
      <c r="E9" s="43">
        <v>6.8702290076335881E-2</v>
      </c>
    </row>
    <row r="10" spans="1:5" ht="15.75" customHeight="1">
      <c r="A10" s="5" t="s">
        <v>1125</v>
      </c>
      <c r="B10" s="5"/>
      <c r="C10" s="5">
        <v>4</v>
      </c>
      <c r="D10" s="5">
        <v>11</v>
      </c>
      <c r="E10" s="43">
        <v>4.1984732824427481E-2</v>
      </c>
    </row>
    <row r="11" spans="1:5" ht="15.75" customHeight="1">
      <c r="A11" s="5" t="s">
        <v>1126</v>
      </c>
      <c r="B11" s="5"/>
      <c r="C11" s="5">
        <v>4</v>
      </c>
      <c r="D11" s="5">
        <v>10</v>
      </c>
      <c r="E11" s="43">
        <v>3.8167938931297711E-2</v>
      </c>
    </row>
    <row r="12" spans="1:5" ht="15.75" customHeight="1">
      <c r="A12" s="5" t="s">
        <v>577</v>
      </c>
      <c r="B12" s="5"/>
      <c r="C12" s="5">
        <v>88</v>
      </c>
      <c r="D12" s="5">
        <v>262</v>
      </c>
      <c r="E12" s="43">
        <v>1</v>
      </c>
    </row>
  </sheetData>
  <printOptions horizontalCentered="1" gridLines="1"/>
  <pageMargins left="0.7" right="0.7" top="0.75" bottom="0.75" header="0" footer="0"/>
  <pageSetup paperSize="9" fitToHeight="0" pageOrder="overThenDown" orientation="landscape"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E21"/>
  <sheetViews>
    <sheetView showGridLines="0" workbookViewId="0"/>
  </sheetViews>
  <sheetFormatPr defaultColWidth="12.6328125" defaultRowHeight="15.75" customHeight="1"/>
  <cols>
    <col min="1" max="1" width="40.26953125" customWidth="1"/>
    <col min="2" max="2" width="54.08984375" customWidth="1"/>
  </cols>
  <sheetData>
    <row r="1" spans="1:5" ht="15.75" customHeight="1">
      <c r="A1" s="5" t="s">
        <v>492</v>
      </c>
      <c r="B1" s="5" t="s">
        <v>580</v>
      </c>
      <c r="C1" s="5" t="s">
        <v>1115</v>
      </c>
      <c r="D1" s="5" t="s">
        <v>1116</v>
      </c>
      <c r="E1" s="5" t="s">
        <v>1116</v>
      </c>
    </row>
    <row r="2" spans="1:5" ht="15.75" customHeight="1">
      <c r="A2" s="5" t="s">
        <v>514</v>
      </c>
      <c r="B2" s="5" t="s">
        <v>593</v>
      </c>
      <c r="C2" s="5">
        <v>10</v>
      </c>
      <c r="D2" s="5">
        <v>30</v>
      </c>
      <c r="E2" s="43">
        <v>0.11450381679389313</v>
      </c>
    </row>
    <row r="3" spans="1:5" ht="15.75" customHeight="1">
      <c r="A3" s="5"/>
      <c r="B3" s="5" t="s">
        <v>668</v>
      </c>
      <c r="C3" s="5">
        <v>10</v>
      </c>
      <c r="D3" s="5">
        <v>26</v>
      </c>
      <c r="E3" s="43">
        <v>9.9236641221374045E-2</v>
      </c>
    </row>
    <row r="4" spans="1:5" ht="15.75" customHeight="1">
      <c r="A4" s="5"/>
      <c r="B4" s="5" t="s">
        <v>584</v>
      </c>
      <c r="C4" s="5">
        <v>10</v>
      </c>
      <c r="D4" s="5">
        <v>18</v>
      </c>
      <c r="E4" s="43">
        <v>6.8702290076335881E-2</v>
      </c>
    </row>
    <row r="5" spans="1:5" ht="15.75" customHeight="1">
      <c r="A5" s="5"/>
      <c r="B5" s="5" t="s">
        <v>641</v>
      </c>
      <c r="C5" s="5">
        <v>5</v>
      </c>
      <c r="D5" s="5">
        <v>17</v>
      </c>
      <c r="E5" s="43">
        <v>6.4885496183206104E-2</v>
      </c>
    </row>
    <row r="6" spans="1:5" ht="15.75" customHeight="1">
      <c r="A6" s="5"/>
      <c r="B6" s="5" t="s">
        <v>626</v>
      </c>
      <c r="C6" s="5">
        <v>6</v>
      </c>
      <c r="D6" s="5">
        <v>17</v>
      </c>
      <c r="E6" s="43">
        <v>6.4885496183206104E-2</v>
      </c>
    </row>
    <row r="7" spans="1:5" ht="15.75" customHeight="1">
      <c r="A7" s="5"/>
      <c r="B7" s="5" t="s">
        <v>617</v>
      </c>
      <c r="C7" s="5">
        <v>6</v>
      </c>
      <c r="D7" s="5">
        <v>16</v>
      </c>
      <c r="E7" s="43">
        <v>6.1068702290076333E-2</v>
      </c>
    </row>
    <row r="8" spans="1:5" ht="15.75" customHeight="1">
      <c r="A8" s="5"/>
      <c r="B8" s="5" t="s">
        <v>605</v>
      </c>
      <c r="C8" s="5">
        <v>7</v>
      </c>
      <c r="D8" s="5">
        <v>11</v>
      </c>
      <c r="E8" s="43">
        <v>4.1984732824427481E-2</v>
      </c>
    </row>
    <row r="9" spans="1:5" ht="15.75" customHeight="1">
      <c r="A9" s="5"/>
      <c r="B9" s="5" t="s">
        <v>614</v>
      </c>
      <c r="C9" s="5">
        <v>4</v>
      </c>
      <c r="D9" s="5">
        <v>10</v>
      </c>
      <c r="E9" s="43">
        <v>3.8167938931297711E-2</v>
      </c>
    </row>
    <row r="10" spans="1:5" ht="15.75" customHeight="1">
      <c r="A10" s="5"/>
      <c r="B10" s="5" t="s">
        <v>701</v>
      </c>
      <c r="C10" s="5">
        <v>5</v>
      </c>
      <c r="D10" s="5">
        <v>6</v>
      </c>
      <c r="E10" s="43">
        <v>2.2900763358778626E-2</v>
      </c>
    </row>
    <row r="11" spans="1:5" ht="15.75" customHeight="1">
      <c r="A11" s="5"/>
      <c r="B11" s="5" t="s">
        <v>601</v>
      </c>
      <c r="C11" s="5">
        <v>2</v>
      </c>
      <c r="D11" s="5">
        <v>4</v>
      </c>
      <c r="E11" s="43">
        <v>1.5267175572519083E-2</v>
      </c>
    </row>
    <row r="12" spans="1:5" ht="15.75" customHeight="1">
      <c r="A12" s="5" t="s">
        <v>500</v>
      </c>
      <c r="B12" s="5" t="s">
        <v>605</v>
      </c>
      <c r="C12" s="5">
        <v>10</v>
      </c>
      <c r="D12" s="5">
        <v>25</v>
      </c>
      <c r="E12" s="43">
        <v>9.5419847328244281E-2</v>
      </c>
    </row>
    <row r="13" spans="1:5" ht="15.75" customHeight="1">
      <c r="A13" s="5"/>
      <c r="B13" s="5" t="s">
        <v>584</v>
      </c>
      <c r="C13" s="5">
        <v>8</v>
      </c>
      <c r="D13" s="5">
        <v>23</v>
      </c>
      <c r="E13" s="43">
        <v>8.7786259541984726E-2</v>
      </c>
    </row>
    <row r="14" spans="1:5" ht="15.75" customHeight="1">
      <c r="A14" s="5"/>
      <c r="B14" s="5" t="s">
        <v>701</v>
      </c>
      <c r="C14" s="5">
        <v>6</v>
      </c>
      <c r="D14" s="5">
        <v>12</v>
      </c>
      <c r="E14" s="43">
        <v>4.5801526717557252E-2</v>
      </c>
    </row>
    <row r="15" spans="1:5" ht="15.75" customHeight="1">
      <c r="A15" s="5"/>
      <c r="B15" s="5" t="s">
        <v>641</v>
      </c>
      <c r="C15" s="5">
        <v>5</v>
      </c>
      <c r="D15" s="5">
        <v>11</v>
      </c>
      <c r="E15" s="43">
        <v>4.1984732824427481E-2</v>
      </c>
    </row>
    <row r="16" spans="1:5" ht="15.75" customHeight="1">
      <c r="A16" s="5"/>
      <c r="B16" s="5" t="s">
        <v>593</v>
      </c>
      <c r="C16" s="5">
        <v>5</v>
      </c>
      <c r="D16" s="5">
        <v>9</v>
      </c>
      <c r="E16" s="43">
        <v>3.4351145038167941E-2</v>
      </c>
    </row>
    <row r="17" spans="1:5" ht="15.75" customHeight="1">
      <c r="A17" s="5"/>
      <c r="B17" s="5" t="s">
        <v>626</v>
      </c>
      <c r="C17" s="5">
        <v>6</v>
      </c>
      <c r="D17" s="5">
        <v>8</v>
      </c>
      <c r="E17" s="43">
        <v>3.0534351145038167E-2</v>
      </c>
    </row>
    <row r="18" spans="1:5" ht="15.75" customHeight="1">
      <c r="A18" s="5"/>
      <c r="B18" s="5" t="s">
        <v>601</v>
      </c>
      <c r="C18" s="5">
        <v>4</v>
      </c>
      <c r="D18" s="5">
        <v>7</v>
      </c>
      <c r="E18" s="43">
        <v>2.6717557251908396E-2</v>
      </c>
    </row>
    <row r="19" spans="1:5" ht="15.75" customHeight="1">
      <c r="A19" s="5"/>
      <c r="B19" s="5" t="s">
        <v>617</v>
      </c>
      <c r="C19" s="5">
        <v>2</v>
      </c>
      <c r="D19" s="5">
        <v>6</v>
      </c>
      <c r="E19" s="43">
        <v>2.2900763358778626E-2</v>
      </c>
    </row>
    <row r="20" spans="1:5" ht="15.75" customHeight="1">
      <c r="A20" s="5"/>
      <c r="B20" s="5" t="s">
        <v>668</v>
      </c>
      <c r="C20" s="5">
        <v>4</v>
      </c>
      <c r="D20" s="5">
        <v>6</v>
      </c>
      <c r="E20" s="43">
        <v>2.2900763358778626E-2</v>
      </c>
    </row>
    <row r="21" spans="1:5" ht="15.75" customHeight="1">
      <c r="A21" s="5" t="s">
        <v>577</v>
      </c>
      <c r="B21" s="5"/>
      <c r="C21" s="5">
        <v>88</v>
      </c>
      <c r="D21" s="5">
        <v>262</v>
      </c>
      <c r="E21" s="43">
        <v>1</v>
      </c>
    </row>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16</vt:i4>
      </vt:variant>
    </vt:vector>
  </HeadingPairs>
  <TitlesOfParts>
    <vt:vector size="16" baseType="lpstr">
      <vt:lpstr>Critérios </vt:lpstr>
      <vt:lpstr>Lista Geral</vt:lpstr>
      <vt:lpstr>Piloto-Consenso</vt:lpstr>
      <vt:lpstr>Análise para RQs</vt:lpstr>
      <vt:lpstr>Análise RQ1 Issues</vt:lpstr>
      <vt:lpstr>Análise RQ1 Metodolgia</vt:lpstr>
      <vt:lpstr>Análise RQ1 Cerimônias</vt:lpstr>
      <vt:lpstr>Análise RQ1 Papel</vt:lpstr>
      <vt:lpstr>Análise RQ1 Efeito</vt:lpstr>
      <vt:lpstr>Análise RQ1 Efeito X tipo Probl</vt:lpstr>
      <vt:lpstr>Cópia de Análise RQ1 Efeito X t</vt:lpstr>
      <vt:lpstr>Cópia de Cópia de Análise RQ1 E</vt:lpstr>
      <vt:lpstr>Análise RQ2 Soluções</vt:lpstr>
      <vt:lpstr>Tabela dinâmica 2</vt:lpstr>
      <vt:lpstr>Cópia de Tabela dinâmica 2</vt:lpstr>
      <vt:lpstr>Cópia de Cópia de Tabela dinâmi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Sávio Freire</cp:lastModifiedBy>
  <dcterms:modified xsi:type="dcterms:W3CDTF">2026-05-04T23:58:36Z</dcterms:modified>
</cp:coreProperties>
</file>