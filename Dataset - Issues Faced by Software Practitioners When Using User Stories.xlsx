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Geral" sheetId="1" r:id="rId5"/>
    <sheet state="visible" name="Piloto-Consenso" sheetId="2" r:id="rId6"/>
    <sheet state="visible" name="Análise para RQs" sheetId="3" r:id="rId7"/>
    <sheet state="visible" name="Análise RQ1 Issues" sheetId="4" r:id="rId8"/>
    <sheet state="visible" name="Análise RQ1 Metodolgia" sheetId="5" r:id="rId9"/>
    <sheet state="visible" name="Análise RQ1 Cerimônias" sheetId="6" r:id="rId10"/>
    <sheet state="visible" name="Análise RQ1 Papel" sheetId="7" r:id="rId11"/>
    <sheet state="visible" name="Análise RQ1 Efeito" sheetId="8" r:id="rId12"/>
    <sheet state="visible" name="Análise RQ1 Efeito X tipo Probl" sheetId="9" r:id="rId13"/>
    <sheet state="visible" name="Cópia de Análise RQ1 Efeito X t" sheetId="10" r:id="rId14"/>
    <sheet state="visible" name="Cópia de Cópia de Análise RQ1 E" sheetId="11" r:id="rId15"/>
    <sheet state="visible" name="Análise RQ2 Soluções" sheetId="12" r:id="rId16"/>
    <sheet state="visible" name="Tabela dinâmica 2" sheetId="13" r:id="rId17"/>
    <sheet state="visible" name="Cópia de Tabela dinâmica 2" sheetId="14" r:id="rId18"/>
    <sheet state="visible" name="Cópia de Cópia de Tabela dinâmi" sheetId="15" r:id="rId19"/>
  </sheets>
  <definedNames>
    <definedName hidden="1" localSheetId="0" name="_xlnm._FilterDatabase">'Lista Geral'!$A$1:$H$117</definedName>
    <definedName hidden="1" localSheetId="1" name="_xlnm._FilterDatabase">'Piloto-Consenso'!$A$1:$H$117</definedName>
    <definedName hidden="1" localSheetId="2" name="_xlnm._FilterDatabase">'Análise para RQs'!$A$1:$Y$43</definedName>
    <definedName hidden="1" localSheetId="11" name="_xlnm._FilterDatabase">'Análise RQ2 Soluções'!$A$1:$L$263</definedName>
  </definedNames>
  <calcPr/>
  <pivotCaches>
    <pivotCache cacheId="0" r:id="rId20"/>
    <pivotCache cacheId="1" r:id="rId21"/>
  </pivotCaches>
</workbook>
</file>

<file path=xl/sharedStrings.xml><?xml version="1.0" encoding="utf-8"?>
<sst xmlns="http://schemas.openxmlformats.org/spreadsheetml/2006/main" count="5127" uniqueCount="1129">
  <si>
    <t>ID</t>
  </si>
  <si>
    <t>Fórum</t>
  </si>
  <si>
    <t>ID Site</t>
  </si>
  <si>
    <t>Site</t>
  </si>
  <si>
    <t>Título</t>
  </si>
  <si>
    <t>Critério</t>
  </si>
  <si>
    <t>Ano</t>
  </si>
  <si>
    <t>Última resposta com score &gt; 0</t>
  </si>
  <si>
    <t>Project Management</t>
  </si>
  <si>
    <t>https://pm.stackexchange.com/questions/</t>
  </si>
  <si>
    <t>Is it possible to be agile during steps prior to implementation like sales and product discovery?</t>
  </si>
  <si>
    <t>EC1: Discussion that does NOT address problems with user story.</t>
  </si>
  <si>
    <t>Software Engineering</t>
  </si>
  <si>
    <t>https://softwareengineering.stackexchange.com/questions/</t>
  </si>
  <si>
    <t>In Scrum, what to do when story points and task hours don't roughly correlate?</t>
  </si>
  <si>
    <t>IC: Discussion that addresses issues related to user stories.</t>
  </si>
  <si>
    <t>Who else can test in absence of QA?</t>
  </si>
  <si>
    <t>Agile product planning alternatives to aid goal-oriented feature quality</t>
  </si>
  <si>
    <t>Technical product owner does it really exist?</t>
  </si>
  <si>
    <t>How to manage a failed sub team inside a scrum team</t>
  </si>
  <si>
    <t>How should we hand-off and ticket UI designs to the devs to ensure the developed design matches the provided UI mockups, while still being agile?</t>
  </si>
  <si>
    <t>Many user stories share the same technical tasks: what to do?</t>
  </si>
  <si>
    <t>How to communicate effectivelly with less knowledgeable individuals</t>
  </si>
  <si>
    <t>How to (Agile) manage a fairly complex IT PoC?</t>
  </si>
  <si>
    <t>Software Quality Assurance &amp; Testing</t>
  </si>
  <si>
    <t>https://sqa.stackexchange.com/questions/</t>
  </si>
  <si>
    <t>Techniques to write good acceptance criteria for user stories</t>
  </si>
  <si>
    <t>Where should design be incorporated in an agile process?</t>
  </si>
  <si>
    <t>How much detail about a user story can a developer expect?</t>
  </si>
  <si>
    <t>How to deal with a Dev Team that refuses to analyze/investigate the source of the issue, and just blames the process</t>
  </si>
  <si>
    <t>Anemic REST and DDD</t>
  </si>
  <si>
    <t>Is the Iteration Planning part of the Iteration itself?</t>
  </si>
  <si>
    <t>Should technical debt/technology upgrade be scheduled as a feature (given points) or a chore (given no points)?</t>
  </si>
  <si>
    <t>doubt about relationship between poker planning and ideal days</t>
  </si>
  <si>
    <t>How to keep all the developers on the same page in Scrum?</t>
  </si>
  <si>
    <t>Is there no substitute for testing?</t>
  </si>
  <si>
    <t>How do you cope with a team who tends to underestimate time needed to complete tasks?</t>
  </si>
  <si>
    <t>Agile - What we doing wrong?</t>
  </si>
  <si>
    <t>TDD how to avoid test duplication across team</t>
  </si>
  <si>
    <t>When is it reasonable to register an activity on the SCRUM board and when it is not necessary?</t>
  </si>
  <si>
    <t>Are end-to-end and integration tests worth it for non-mission critical stuff?</t>
  </si>
  <si>
    <t>Handling multiple pull requests from a branch</t>
  </si>
  <si>
    <t>I would like to improve in writing goal-oriented user stories/features</t>
  </si>
  <si>
    <t>How should a team handle disagreements about story-point estimates in Scrum?</t>
  </si>
  <si>
    <t>How does a team (new to product and domain) estimate user stories of a ten year old product?</t>
  </si>
  <si>
    <t>How can I manage both user stories and other non-backlog tasks if using VersionOne?</t>
  </si>
  <si>
    <t>Git work flow with pull requests</t>
  </si>
  <si>
    <t>How do I prevent Scrum from turning great developers into average developers?</t>
  </si>
  <si>
    <t>Requirements engineering done in Excel and Word?</t>
  </si>
  <si>
    <t>EC2: Discussion in a context outside the industry (company, team, project for industry).</t>
  </si>
  <si>
    <t>Steps to achieve the best code quality?</t>
  </si>
  <si>
    <t>What to include in sprint backlog in the first weeks of developing?</t>
  </si>
  <si>
    <t>Problem statement for code reuse</t>
  </si>
  <si>
    <t>What empirical evidence is there that the separation between analysis and design leads to better results than mixing them?</t>
  </si>
  <si>
    <t>How to get better understanding of the users as a programmer</t>
  </si>
  <si>
    <t>The place of UI design when estimating and elaborating user stories</t>
  </si>
  <si>
    <t>Should a user story be shared between developers?</t>
  </si>
  <si>
    <t>Why not use costs instead of story points for estimation?</t>
  </si>
  <si>
    <t>how can we have a person to allot and track tasks in agile development</t>
  </si>
  <si>
    <t>What is the way to go to create tasks?</t>
  </si>
  <si>
    <t>Is there any software development methodologies for small teams?</t>
  </si>
  <si>
    <t>Alternatives for Agile Scrum</t>
  </si>
  <si>
    <t>Agile Story Pointing - Shared Resources</t>
  </si>
  <si>
    <t>The burndown suffers due to "technical" dependency between tasks - should we focus more on each task, and accept additional overhead?</t>
  </si>
  <si>
    <t>What is an effective way to record rationales behind product design decisions?</t>
  </si>
  <si>
    <t>Is it ok to define a user story that has no real business value without another story?</t>
  </si>
  <si>
    <t>Disadvantages of vertical user stories</t>
  </si>
  <si>
    <t>What is the importance of the vision document and how it helps development?</t>
  </si>
  <si>
    <t>UX designers working one Sprint ahead</t>
  </si>
  <si>
    <t>Dev and Tester separated team AND single sprint</t>
  </si>
  <si>
    <t>How do I facilitate an effective planning meeting with a remote team?</t>
  </si>
  <si>
    <t>How to project manage Multiple Product lines, Crossed linked projects 75 developers, 7-8 product managers in an agile manager</t>
  </si>
  <si>
    <t>Make Sure Developers Follow Requirements &amp; Test Their Code</t>
  </si>
  <si>
    <t>Scrum: Product Backlogs and Tasks</t>
  </si>
  <si>
    <t>How to schedule back and front-end developers based on story points?</t>
  </si>
  <si>
    <t>Need help- Documentation for non-technical people using Agile</t>
  </si>
  <si>
    <t>How to eliminate wasted time / improve cadence on epic boundaries</t>
  </si>
  <si>
    <t>Specifications in spreadsheets vs. stories in JIRA</t>
  </si>
  <si>
    <t>How can agile be applied to applications involving complex processing?</t>
  </si>
  <si>
    <t>how can user story maps be used for projects with heavy backend work and little UI</t>
  </si>
  <si>
    <t>Should all team members be assigned user stories?</t>
  </si>
  <si>
    <t>How to allocate story points on extremely complex user stories?</t>
  </si>
  <si>
    <t>Where does documentation like business and software requirement spec docs fit in an agile project?</t>
  </si>
  <si>
    <t>Agile Estimation - How to estimate for bugs?</t>
  </si>
  <si>
    <t>Do user stories mean rework? How much is ok?</t>
  </si>
  <si>
    <t>Introducing Agile development after traditional project inception</t>
  </si>
  <si>
    <t>How to plan 2 week sprints, when each story completed will generate multiple stories</t>
  </si>
  <si>
    <t>How to get good design when using agile methods?</t>
  </si>
  <si>
    <t>Can testers peer review the developers' design and code?</t>
  </si>
  <si>
    <t>Design documents as part of Agile</t>
  </si>
  <si>
    <t>Finishing an iteration early</t>
  </si>
  <si>
    <t>Agile product backlogs</t>
  </si>
  <si>
    <t>I want to adopt an agile methodology - in a company that has NO process at all?</t>
  </si>
  <si>
    <t>Suggestions to improve small team workflow (CI / Deployment)</t>
  </si>
  <si>
    <t>How to write a summary for a user story?</t>
  </si>
  <si>
    <t>Where is Waterfall failing us and can Scrum help us have success in our projects?</t>
  </si>
  <si>
    <t>Backend devs put down by user stories</t>
  </si>
  <si>
    <t>How to make sprint planning fun</t>
  </si>
  <si>
    <t>How to handle editing a large file for a non-technical user</t>
  </si>
  <si>
    <t>How to map user stories into tickets?</t>
  </si>
  <si>
    <t>How could Agile methodologies be used with a middle school Lego Robotics team?</t>
  </si>
  <si>
    <t>How far should you vertically slice?</t>
  </si>
  <si>
    <t>What to do for delayed stories between sprints</t>
  </si>
  <si>
    <t>How do I break down a feature that has complex dependencies?</t>
  </si>
  <si>
    <t>Scrum uneven distribution of work hidden in a unified effort</t>
  </si>
  <si>
    <t>Shared backend resources for two mobile SCRUM teams, iOS and Android</t>
  </si>
  <si>
    <t>How to adopt scrum when you don't know who needs to be in your team each sprint</t>
  </si>
  <si>
    <t>Jira story points versus sub task estimation</t>
  </si>
  <si>
    <t>Product Backlog items estimation - How to avoid estimations in hours when there is no team velocity and team is new?</t>
  </si>
  <si>
    <t>How to deal with an impatient stakeholder?</t>
  </si>
  <si>
    <t>How to set properly aligned KPIs for engineers and QA staff</t>
  </si>
  <si>
    <t>Documenting requirements on an Agile project</t>
  </si>
  <si>
    <t>Do user stories need to be Independent and Valuable or Independently Valuable?</t>
  </si>
  <si>
    <t>Organizing testing in a Scrum(ish) development project</t>
  </si>
  <si>
    <t>Company wants to write custom project management tool, rather than use third party product</t>
  </si>
  <si>
    <t>In Scrum, why shouldn't the Product Owner and ScrumMaster roles be combined?</t>
  </si>
  <si>
    <t>The business and architecture challenge behind creating effective user stories</t>
  </si>
  <si>
    <t>Is QA stage mandatory to be included into user story cycle?</t>
  </si>
  <si>
    <t>How to write a user story involving artistic work?</t>
  </si>
  <si>
    <t>Managing a Product Owner in a not-yet-agile organization</t>
  </si>
  <si>
    <t>Is there any pm methodology that works well on large projects?</t>
  </si>
  <si>
    <t>Lingua franca for technical stories</t>
  </si>
  <si>
    <t>How do you estimate epics?</t>
  </si>
  <si>
    <t>How to determine the cost of a story point?</t>
  </si>
  <si>
    <t>How to incorporate UX/UI in sprint correctly when mockups are required to estimate a story?</t>
  </si>
  <si>
    <t>How do you handle non-functional work with Scrum in embedded eystems?</t>
  </si>
  <si>
    <t>Is FPA incompatible with Agile?</t>
  </si>
  <si>
    <t>How to implement unit testing with a small Scrum team without spending half the Sprint unit-testing stories?</t>
  </si>
  <si>
    <t>How to respond to a suggestion from management to stop writing manual test cases</t>
  </si>
  <si>
    <t>How to deal with or prevent idle in the test team?</t>
  </si>
  <si>
    <t>User stories are too high level and conceptual, management expects developers to fill in the blanks</t>
  </si>
  <si>
    <t>Is estimating a project without basic requirements or user stories a good idea for a fixed cost proposal?</t>
  </si>
  <si>
    <t>Acceptance Criteria for user story on interface adapting for devices with different resolutions</t>
  </si>
  <si>
    <t>R1</t>
  </si>
  <si>
    <t>R2</t>
  </si>
  <si>
    <t>R3</t>
  </si>
  <si>
    <t>https://pm.stackexchange.com/questions</t>
  </si>
  <si>
    <t>OK</t>
  </si>
  <si>
    <r>
      <rPr>
        <rFont val="Arial"/>
        <color rgb="FF1155CC"/>
        <sz val="10.0"/>
        <u/>
      </rPr>
      <t>Is estimating a project without basic requirements or user stories a good idea for a fixed cost proposal?</t>
    </r>
  </si>
  <si>
    <r>
      <rPr>
        <rFont val="Arial"/>
        <color rgb="FF1155CC"/>
        <sz val="10.0"/>
        <u/>
      </rPr>
      <t>Where should design be incorporated in an agile process?</t>
    </r>
  </si>
  <si>
    <t>https://softwareengineering.stackexchange.com/questions</t>
  </si>
  <si>
    <r>
      <rPr>
        <rFont val="Arial"/>
        <color rgb="FF1155CC"/>
        <sz val="10.0"/>
        <u/>
      </rPr>
      <t>Is FPA incompatible with Agile?</t>
    </r>
  </si>
  <si>
    <r>
      <rPr>
        <rFont val="Arial"/>
        <color rgb="FF1155CC"/>
        <sz val="10.0"/>
        <u/>
      </rPr>
      <t>How do you handle non-functional work with Scrum in embedded eystems?</t>
    </r>
  </si>
  <si>
    <t>https://sqa.stackexchange.com/questions</t>
  </si>
  <si>
    <r>
      <rPr>
        <rFont val="Arial"/>
        <color rgb="FF1155CC"/>
        <sz val="10.0"/>
        <u/>
      </rPr>
      <t>How to respond to a suggestion from management to stop writing manual test cases</t>
    </r>
  </si>
  <si>
    <r>
      <rPr>
        <rFont val="Arial"/>
        <color rgb="FF1155CC"/>
        <sz val="10.0"/>
        <u/>
      </rPr>
      <t>Techniques to write good acceptance criteria for user stories</t>
    </r>
  </si>
  <si>
    <t>https://pm.stackexchange.com/questions/8679/how-does-a-team-new-to-product-and-domain-estimate-user-stories-of-a-ten-year</t>
  </si>
  <si>
    <t>Nacionalidade</t>
  </si>
  <si>
    <t>Problema (Pergunta)
Nicole</t>
  </si>
  <si>
    <t>Problema (Pergunta)
Yuri</t>
  </si>
  <si>
    <t>-&gt;Problema código final</t>
  </si>
  <si>
    <t>-&gt;Tipo de Problema</t>
  </si>
  <si>
    <t>Trecho - Problema</t>
  </si>
  <si>
    <t>-&gt; Metodologia código final</t>
  </si>
  <si>
    <t>Trecho - Metodologia Ágil</t>
  </si>
  <si>
    <t>-&gt; Cerimônia Código Final</t>
  </si>
  <si>
    <t>Trecho - Cerimônia</t>
  </si>
  <si>
    <t>-&gt; Papel Código Final</t>
  </si>
  <si>
    <t>Trecho - Papel</t>
  </si>
  <si>
    <t>-&gt; Efeito Código Final</t>
  </si>
  <si>
    <t>-&gt; Efeito: Categorias</t>
  </si>
  <si>
    <t>Trecho - Efeito</t>
  </si>
  <si>
    <t>-&gt; Possíveis Soluções - Código Final</t>
  </si>
  <si>
    <t>Possíveis soluções - Consenso</t>
  </si>
  <si>
    <t>New York</t>
  </si>
  <si>
    <t>Quando considerar uma história como concluída</t>
  </si>
  <si>
    <t>Dúvida sobre considerar uma história concluída quando o desenvolvimento termina, mas o teste (QA) ainda é necessário</t>
  </si>
  <si>
    <t>Process/workflow issues around user stories</t>
  </si>
  <si>
    <t>User Story related Issues</t>
  </si>
  <si>
    <t>So at the end of the Sprint I usually have several user stories under QA, so should I mark them as completed, or not? 'Should the "QA COMPLETED" condition be included into the Definition Of Done?')</t>
  </si>
  <si>
    <t>Not mentioned</t>
  </si>
  <si>
    <t>A 2-week Sprint is close to the end (let's say 80% of the time has passed by)</t>
  </si>
  <si>
    <t>Sprint</t>
  </si>
  <si>
    <t>-</t>
  </si>
  <si>
    <t>Quality assurance and validation issues</t>
  </si>
  <si>
    <t>Structural &amp; Quality Effects</t>
  </si>
  <si>
    <t xml:space="preserve">should I mark them as completed, or not? </t>
  </si>
  <si>
    <t>1. QA must be complete to call a user story done
2. 2. QA must be part of DoD to mark stories as done.
3. bring in QA within your sprint and not as a separate stage</t>
  </si>
  <si>
    <t>1 - The direct answer for almost all teams is that QA must be complete to call a user story done.
2 - So, the more complete answer to your question would be: If QA tests must run and pass before your product can be shipped to end users, then it should be in your definition of done and must be completed in the sprint in order to move those backlog items to a "Done" state.
3 - A story is not "done" till it meets its functionality and is tested for completely.That means you need to bring in QA within your sprint and not as a separate stage.</t>
  </si>
  <si>
    <t>Praga, República Tcheca</t>
  </si>
  <si>
    <t>Transição entre épicos</t>
  </si>
  <si>
    <t>Tempo perdido entre epicos</t>
  </si>
  <si>
    <t>The problem I've noticed is that there seems to be a lot of time wasted on the boundary between epics. Towards the end of work on an epic, we get increasingly blocked by lack of tasks we can work on or dependencies.</t>
  </si>
  <si>
    <t>Kanban</t>
  </si>
  <si>
    <t xml:space="preserve">Our team works in a kanban-ish process [...] There are no time-boxed sprints. </t>
  </si>
  <si>
    <t>Delays/blockages due to tasks or dependencies</t>
  </si>
  <si>
    <t>Process &amp; Workflow Effects</t>
  </si>
  <si>
    <t>there seems to be a lot of time wasted [...] we get increasingly blocked</t>
  </si>
  <si>
    <t>1. The solution was simple. Stop planning around epics and instead plan at the task or story level. At this finer level of detail it is easier for the team to balance its work. For example, they would often mix the start of a new epic with the end of the previous epic. This allowed the team to be fully utilised and to transition cleanly between epics.</t>
  </si>
  <si>
    <t>Não consta</t>
  </si>
  <si>
    <t>Como integrar UX/UI ao Scrum sem virar waterfall</t>
  </si>
  <si>
    <t>Dependência de mockups para estimativa; Dificuldade com UX/UI e histórias</t>
  </si>
  <si>
    <t>UX/UI integration challenges around user stories</t>
  </si>
  <si>
    <t>I'm struggling to figure out a way to handle UX/UI in an agile way. It takes so long for the designer to deliver the designs... how do you manage this in SCRUM?</t>
  </si>
  <si>
    <t>Scrum</t>
  </si>
  <si>
    <t>how do you manage this in SCRUM? our 2-weeks sprint iterations.</t>
  </si>
  <si>
    <t>Sprint Planning</t>
  </si>
  <si>
    <t>before the story can be put in the sprint backlog... add them to the sprint backlog</t>
  </si>
  <si>
    <t>Workflow disruption and delivery blockage</t>
  </si>
  <si>
    <t xml:space="preserve"> the devs wouldn't be able to deliver their side of the story. I feel like this is more a waterfall than an agile approach.</t>
  </si>
  <si>
    <t>1 - I think there is a misunderstanding here, which is that in Agile there isn't any "upfront anything" and that the current iteration is the only place that things must happen. If this misunderstanding exists, people try to plan and do work only for the current sprint, which isn't always the best approach for all situations, as you've noticed.
2 - If the designs are complex and take time to be built and it's essential for the developers to know how they look like to know how to estimate and what work is involved, then obviously you need the designs before you plan your current sprint. That means that the designer should work ahead of the developers to agree with the PO what is needed from an UX/UI point of view and prepare the designs ahead of time.
3 - that the designer doesn't become a bottleneck and a blocker in your team's work. You say that "Sometimes, the designs might even be longer than our 2-weeks sprint iterations." This is a red flag.
4 - try to avoid waste. If the designer works ahead of the team, then they might be missing some insight that the team can offer. 
5 - You already understand that UX/BA activities should be done before the Sprint starts, as developers need stories for planning. Your real question is how do you justify this approach from Scrum perspective (it's always the question with Scrum).
- UX/BA tasks are part of the sprint. But their job isn't to deliver a working software, but it's still about delivering value. Which is all we need from Scrum perspective.
- Treat UX/BA as Product Owners. PO has to be prepare stories for planning.
6 - As for managing tasks: personally I would return those tasks back to TODO and give them to developers. Just to decrease the number of extra noise in the task tracker. You can say that the job of UX is to prepare (describe) those tasks for developers.
7 - don't try to be "fully Agile". When you say this - it means you're trying to follow some abstract ideas "to the letter". But the main idea of Agile is to be flexible and make decisions which make sense in your particular situation. So Agile is always different.
8 - It is a misconception that a story should be fully designed, developed and tested in a single sprint. It puts the team in precisely the same predicament you describe. The "design" of a story could include many artifacts outside of code.
9 - The larger the story, the more prep work needs to be completed before the team can estimate the effort and design the technical solution. Indeed, a mock-up or visual of some sort is essential. You are also correct in identifying that this design work can take more than one sprint.
10 - Rather than adapting the workflow of gathering requirements to fit a sprint, work with the developers and testers on defining what is "ready" for sprint planning.
11 - Consider the UX/UI designer as part of the SCRUM team. Whatever he/she does is a story, like all other stories.
12 -  Consider the UX/UI designer as external to the SCRUM team.
13 - At this point, it is a good time for the devs to ask questions about parts of the design that actually have a measurable influence on effort.
14 - If the implementation of the design is larger and takes more than one sprint, still do break it down into smaller pieces, and implement them piecewise - making sure the designer understands which parts are hard to change later.</t>
  </si>
  <si>
    <t>Estimativa baseada custo</t>
  </si>
  <si>
    <t>Conversão de complexidade em métrica financeira</t>
  </si>
  <si>
    <t>Difficulties in estimating user stories</t>
  </si>
  <si>
    <t>What would be the disadvantage of using such a scheme for estimating tickets? Has anyone tried estimating tickets based on costs within scrum?</t>
  </si>
  <si>
    <t>Has anyone tried estimating tickets based on costs within scrum?</t>
  </si>
  <si>
    <t>Planning</t>
  </si>
  <si>
    <t xml:space="preserve"> In a two week sprint, a single programmer can work for 80 hours</t>
  </si>
  <si>
    <t>Estimation uncertainty and inaccuracy</t>
  </si>
  <si>
    <t>Planning &amp; Estimation Effects</t>
  </si>
  <si>
    <t>What would be the disadvantage of using such a scheme for estimating tickets?</t>
  </si>
  <si>
    <t>1. point value determined by environmental factors and team, not time or cost.
2. Leverage past stories as reference points for new estimates.                                                                                                                                                                                                                                                                                                                                                                                                                           3. Avoid cost-based estimation for stories                                                                                                                                                                                                                                                                                                                                                    4. Avoid using monetary units to estimate story complexity or time.                                                                                                                                                                                                                                                                                                              5. Dollars are suitable for estimating business value, not estimating effort.
6. using 5-Whys technique to define root cause for estimation scheme.
7. product owner and stakeholders calculating in dollars/money.</t>
  </si>
  <si>
    <t>1 - The common error is to assign a time or cost value to a point, but in reality the value is determined by environmental factors and teams actually doing the work.
2 - So, if you are estimating a group of stories based on previously completed stories...think a conversation like, "This new story will be a lot like this other story that was a "5" so this new story will probably be a "5"."
3 - Stories are not estimated in terms of effort, so why use dollars?
4 - I don't think that it is a good Idea for estimating complexity or time of the stories in dollars.
5 - A list of estimates 50$, 100$, 200$, 400$, 800$, 1600$, 3200$ could be useful for estimation of value from business point of view and it is responsibility of Product Owner (e.g. How profitable this feature is?).
6 - Could you follow 5-Whys technique to define the root cause for using these scheme? I think there might be another and better solution for an issue that you are trying to solve.
7 - A product owner / stakeholders should calculate in dollars / money.</t>
  </si>
  <si>
    <t>Cary, Carolina do Norte, EUA</t>
  </si>
  <si>
    <t>Responsabilidade e divisão</t>
  </si>
  <si>
    <t>Ambiguidade na titularidade da entrega</t>
  </si>
  <si>
    <t>User stories framed as solutions or technical tasks</t>
  </si>
  <si>
    <t>User Story Issues</t>
  </si>
  <si>
    <t xml:space="preserve">Who "owns" which story? What does "in progress" mean or "done"? Should we make two separate stories for back-end and front-end? If so, doesn't that break the idea of user stories based on feature? </t>
  </si>
  <si>
    <t xml:space="preserve"> Is this a "bad" way to use Scrum?</t>
  </si>
  <si>
    <t>can focus their attention to get their part done by the end of the sprint.</t>
  </si>
  <si>
    <t>Organizational and backlog management issues</t>
  </si>
  <si>
    <t>Organizational &amp; Management Effects</t>
  </si>
  <si>
    <t xml:space="preserve">Then comes the chaos. </t>
  </si>
  <si>
    <t>1 - In your case, I think both front-end and back-end should be a single story.
2 - Divide it into tasks. The developers own their different tasks.
3 - Make sure you include QA-assigned tasks in the same story - without validation a story is useless.
4 - If you want quicker feedback loops, try breaking the use-case into smaller end-to-end features.
5 - It depends. I've seen both ways work. If the story is large enough to have two developers work full time on it, then maybe it should be split. If the two developers are part of two different teams, then maybe it should be split. If the two developers will work on it during different sprints, then maybe it should be split.
6 - That being said, one person owns the story and is responsible for updating on the progress of it and ensuring everybody's done their piece and that it is working together. This is the person for us who reports that a story is "done".
7 - Like others have suggested, my team also divides our user stories into tasks.
8 - But an alternative for tasks would be to just reassign ownership as each person finishes up their part.
9 - But in any case, I recommend never calling a story "done" until the team agrees that it is done, including testing.</t>
  </si>
  <si>
    <t>Conflito entre estimar em Story Points vs. horas/dias</t>
  </si>
  <si>
    <t>Dificuldade em estimar User Stories</t>
  </si>
  <si>
    <t>The project manager wants to estimate in days/hours these user stories. I believe that's not a good idea.</t>
  </si>
  <si>
    <t>I want to estimate them in story points and to track the team's performance throughout the sprints</t>
  </si>
  <si>
    <t>so there is no velocity that can be used for further sprint planning.</t>
  </si>
  <si>
    <t>They are a new team so there is no velocity... we need to estimate them.</t>
  </si>
  <si>
    <t>1. Use story points and velocity for team-level planning, not external forecasting                                                                                                                                                                                                                                                                                         2. Story points and velocity support sprint planning, not management deadlines.                                                                                                                                                                                                                                                                                        3. Commit to Agile principles over hybrid traditional approaches                                                                                                                                                                                                                                                                                                                   4. Avoid mixing Agile with traditional methods; embrace empiricism and adaptability.</t>
  </si>
  <si>
    <t>1 - Using Story Points and Velocity is not for management to plan on when a project is going to be done. They aren't for anyone outside of the team. These concepts exist to help a team plan their next Sprint, to provide a reasonable sanity check that they are forecasting the completion of an appropriate amount of work and committing to an appropriate Sprint Goal.
2 - My advice is to not try to mix Agile Software Development and traditional project management methodologies. Embrace empiricism, adaptability, flexibility, and the responsiveness to a changing environment. Focus on value delivery and knowing when the costs will exceed the potential remaining value.</t>
  </si>
  <si>
    <t>Newest Questions - Software Engineering Stack Exchange</t>
  </si>
  <si>
    <t>Utah, Estados Unidos</t>
  </si>
  <si>
    <t>Especialização vs tarefas</t>
  </si>
  <si>
    <t>Times em uma unica task</t>
  </si>
  <si>
    <t xml:space="preserve">So for the tasks above it seems like all three team members are going to be working on one tasks when only one member should be assigned to one task.[...]  Is there a different way tasks should be written so that it relates to just one of my team members? </t>
  </si>
  <si>
    <t>"I have been reading the book, Scrum Shortcuts Without Cutting Corners"</t>
  </si>
  <si>
    <t>I am just super confused about this. [...]  I want to be as agile as possible but it seems like I am running into walls.</t>
  </si>
  <si>
    <t>1 - The goal of scrum is to enable the team to be self-directed. There is no universal right way to write stories and tasks. The goal is for the team to work together to accomplish a task.
2 - Since it is the team that has to do the work, the tasks that you develop must work for your team. 
3 - No book knows your product, your stories, your team, or your working environment. The goal is to work together to create great software. You're going to have to figure out what works best for you.
4 - If you are just getting started, do it by the book for one sprint. Maybe two. Do your retrospectives, and take them seriously. Figure out what parts of what you tried worked, and what parts didn't work so well. If it turns out you picked the wrong book, you only have to deal with that for one sprint. Learn, lather, rinse, repeat.</t>
  </si>
  <si>
    <t>Desvantagens histórias verticais</t>
  </si>
  <si>
    <t>Desvantagens de histórias verticais</t>
  </si>
  <si>
    <t>Poor decomposition and granularity of user stories</t>
  </si>
  <si>
    <t>What are some more drawbacks of vertically slicing user stories?</t>
  </si>
  <si>
    <t xml:space="preserve">The agile approach is to structure the work into vertical user stories </t>
  </si>
  <si>
    <t>Lack of independence and value delivery issues</t>
  </si>
  <si>
    <t>Product &amp; Value Effects</t>
  </si>
  <si>
    <t>I want to be able to bring up the possible trade-offs ahead of time so they won't consider the approach a failure when they are faced with the drawbacks.</t>
  </si>
  <si>
    <t>1 - I think it's important to distinguish between slicing by individual responsibilities vs. slicing by team responsibilities. I'll focus this answer mainly on slicing teams.
2. In the short term, and for a team new to this kind of development, the main disadvantage is that it takes some getting used to and some learning. The most efficient way to work vertically is to have full-stack developers. If your team is not used to working on vertical stories, they are very likely to split them into tasks corresponding to layers and then distributing the tasks to different people. This will be very inefficient. Tolerate this pipelining initially while making it clear that the long term goal is completely different. Have team members across layers pair program so to build up trust and eventually enable people to be completely independent.
3 - As others have mentioned, secondary structures/behaviors that slice the other direction can help mitigate the drawbacks of either system.
4. Anyone needs to be able to work on any area and everyone is expected to fix the bugs they find (Collective Code ownership). When making the change to vertical stories, Pair Programming can help -- if you aren't confident grab someone in the team who is and pair with them. Without strong owners over layers there was some duplication emerging -- make sure that you practice Refactor Mercilessly with appropriate tests to support. Vertical User Stories made problems more apparent -- after the switch, problems were no longer obfuscated across teams or application layers
5 - The most efficient way to work vertically is to have full-stack developers: in this way a story can be typically executed by one person (or more than one but without pipelining tasks)
6 - The best approach I can give regarding this is to tolerate this pipelining initially while making it clear that the long term goal is completely different. Have team members across layers pair program so to build up trust and eventually enable people to be completely independent.
7 - Have lengthy design discussions with the team before implementing each story
This gets tiring quickly. It's often too early for anyone to make an informed decision and then you just end up arguing over stuff that will definitely have to change anyway.
8 - Go ahead and develop in relative isolation, keeping in mind that you're building up technical debt.
The key here is to log the technical (architectural) debt as an issue. This is something that will need to be paid back.
After a few sprints it'll be easier to decide on a coherent and unified architecture. This is when you should request a hardening sprint to pay back some of your technical debt (refactor the existing code). Alternatively, you can pay it back piecemeal over the next iterations of the project.
9 - Pair Programming can help, if you aren't confident grab someone in the team who is pair with them.</t>
  </si>
  <si>
    <t>Histórias orientadas à solução</t>
  </si>
  <si>
    <t>Prescrição prematura de soluções</t>
  </si>
  <si>
    <t>the business analysts often provide us "user stories" that are more solution than problem statement.</t>
  </si>
  <si>
    <t>I work at a company that wants to be agile</t>
  </si>
  <si>
    <t>Backlog refinament</t>
  </si>
  <si>
    <t>we receive a solution statement on our backlog, they are eager to jump right in and work on it.</t>
  </si>
  <si>
    <t>Team</t>
  </si>
  <si>
    <t>"I believe that as a software engineer part of my job is to understand the user's needs"</t>
  </si>
  <si>
    <t>Loss of autonomy and professional degradation</t>
  </si>
  <si>
    <t>Human &amp; Social Effects</t>
  </si>
  <si>
    <t>within our organization structure, I have zero contact with the user</t>
  </si>
  <si>
    <t>1 - What I have found in over 13 years of software engineering is that I need to talk directly to the customers and sometimes even end users (often in software these are separate entities).
2 - I would recommend talking to your management and argue that you need to be involved earlier in the process, ideally right after sales exits the picture and the BAs enter.
3 - For existing projects, I would work through your project manager and try to cut the BAs out of the picture. You will likely get answers that match what you have already been told. Do not accept this. Try to get in meetings with the customer to discuss requirements.
4 - Essentially, keep asking questions and do not shut your mouth until you fully understand what the customer wants.
5 - Direct and honest communication between the development team and all stakeholders is the only reliable way of delivering great solutions that I know of.
6 - Pragmatically speaking I would suggest that you choose a pet feature and make it the best you can - if it works out, you may get a bigger feature to work on and the success of the first feature would give you more leverage in discussions how to do things.</t>
  </si>
  <si>
    <t>Estados Unidos</t>
  </si>
  <si>
    <t>Design gera dependência</t>
  </si>
  <si>
    <t>Design gera dependencia</t>
  </si>
  <si>
    <t>User stories lacking user value orientation</t>
  </si>
  <si>
    <t>The problem I have with this is that the "development user stories" then have these dependencies on other stories which we generally try to avoid.</t>
  </si>
  <si>
    <t>We use a scrum-based agile development process.</t>
  </si>
  <si>
    <t>We currently think of design as a separate task and break it out as a separate user story with estimated points.</t>
  </si>
  <si>
    <t xml:space="preserve">he "development user stories" then have these dependencies on other stories </t>
  </si>
  <si>
    <t xml:space="preserve">1 - Design work is done in sprint
2 - Design as separate stories
3 - Design is part of our definition of ready
4 - ...I tend to encourage teams to worry about the development effort, rather than also including analysis, UI design, testing, etc.
5 - With regard to working collaboratively rather than having dependencies, I've usually encouraged the analysts and designers to work a sprint ahead of the developers, making sure that enough is done for the developers to have an idea of the scope of the work they're taking on in the planning meeting and estimate it with as much confidence as they can.
6 - Keeping things easy to change later makes the pre-sprint analysis very much more lightweight, and can help teams to collaborate more effectively, regardless of their role.
7 - When working with software, I believe design done right is always going on. I look at stories as business/user focused, not development focused.
8.  I think the best way to handle this question is by having clear and defined coding and design standards that the team adheres to with an almost religious fervor. As the story is reviewed in the backlog via weekly grooming meeting it is updated and a rough design is agreed to based on the teams accepted standards. This should also increase your velocity and lower the number of stories that failed to gain acceptance because they could not be completed due to found work.
9.  If you are talking about Graphics and UI I have always found it helpful to have this effort broken into two or more stories, the first story delivers the functionality without any of the bells or whistles, this gives the design team something to iterate on and come up with a final design in a following iteration.
10. I think that a good definition of DONE is useful in this case. My team will know that if they mark a user story as DONE, it should be analysed further, designed, implemented, refactored, tested, peer reviewed, and integrated into the build - the story is potentially shippable. It is also helpful if your team develop software that has a decoupled presentation layer (meaning that the UI is coded separately to the logic). This technique will reduce the dependency between most stories. 
</t>
  </si>
  <si>
    <t>Amsterdã, Países Baixos</t>
  </si>
  <si>
    <t>User Stories muito conceituais gerando mudanças e retrabalho durante a implementação</t>
  </si>
  <si>
    <t>Escrita de histórias fraca</t>
  </si>
  <si>
    <t>Lack of clarity and completeness in user stories</t>
  </si>
  <si>
    <t>user-stories are too conceptual and just convey the underlying intention but lack enough details...The developer is expected to fill in the blanks at his own discretion... many of these blanks are discovered after some wrong assumptions have made made their way into evaluation time and code...</t>
  </si>
  <si>
    <t>XP</t>
  </si>
  <si>
    <t>a true intention of doing XP. XP developers being designers and analysts at the same time.</t>
  </si>
  <si>
    <t xml:space="preserve"> the volume of change that becomes necessary while implementing the stories. </t>
  </si>
  <si>
    <t>"The developer is expected to fill in the blanks at his own discretion by the virtue of XP developers being designers and analysts at the same time."</t>
  </si>
  <si>
    <t>noticing added complexities emerge than initially anticipated... considered as deviation from the initial estimations.</t>
  </si>
  <si>
    <t>1 - The trick is to fill in those blanks as early as possible in the process of development.
2 - First, ask questions. Where the answers you get seem unsatisfactory, create a prototype. Show the customer what they're asking for, and let them tell you how it's not what they really want.
3 - Also, keep the stories as small as possible. Invariably, what the business wants is an epic, something that can be broken down into many deliverables.
4 - You can also try to get user feedback even more early, for example, after designing some parts of your software (like the UI), on a sheet of paper or a whiteboard and discuss that with a user or customer.
6 - Think about point 4: My opinion is that agile practices should be adapted to the needs and the culture of a company/team (not the other way around). Identify where the company sticks to the XP methodology and where it deviates. This is the groundwork for a constructive approach to your concerns.
7 - However you can start to discuss your concerns with your fellow developers.
8 - Now to point 3: I think that good user stories are collaboratively written by customers/end users/product owners and developers. Show some initiative: Look for some opportunity to directly ask the authors of the user stories
9 - Frankly, user stories should not have a whole lot of detail. "I want the software to do X, to meet Y business need" should be sufficient.
10 - That said, the developers also need to ask: "how do you expect this to work?", "what happens when that interacts with feature Z?". Developers don't make requirements, they make implementation.
11 - If you are asked to estimate a story that seems incomplete to you, make it known that you have questions about the story and that you can't give a proper estimation before those questions are answered.
Then, ask your questions and make sure the answers become part of the story.
12 - If you are forced to give an estimation even when your questions are not (all) answered, you can choose to either refuse to give an estimation or to clearly indicate that you are assuming the worst possible outcomes for the remaining blanks in your estimation (which probably will make your estimation a high outlier).
13 - Instead, they need to initially specify as much as possible, and if needed change later. Then you split your work into parts and implement in iterations. After each iteration, you have something finished.
14 - The best way to do this is to treat user stories for what they are, abstract user requirements, nothing more. You can then child tasks and sub tasks that describe the work that you have to do. 
15 - Treat user stories as high level features that must be broken down into tasks and sub tasks.
16 - Simply keep childing tasks to a user story that represent the real work that you need to do to complete the user story. The real work should be a sentence that accurately says what you are doing, for example, "code next and back buttons to get pagination working". Think small.</t>
  </si>
  <si>
    <t>Eslovênia</t>
  </si>
  <si>
    <t>Histórias mal definidas</t>
  </si>
  <si>
    <t>História mal desenvolvida</t>
  </si>
  <si>
    <t xml:space="preserve"> there are more ways to write bad/unusable user stories than writing really good ones. And it's easy to get to the wrong tracks even if you're careful. </t>
  </si>
  <si>
    <t>In Agile terms these kind of functionality documentation is the Backlog.</t>
  </si>
  <si>
    <t>Product owner</t>
  </si>
  <si>
    <t>"So I would like to write feature set for my coming product in a way they are actually relevant and prioritise them accordingly to reach my goal as reliably as possible."</t>
  </si>
  <si>
    <t>Misalignment with goals and prioritization</t>
  </si>
  <si>
    <t xml:space="preserve"> If you don't have lots of experience with user stories that may hinder your product because they distract you from the actual goal.</t>
  </si>
  <si>
    <t>1 - In all cases, we have a technique for preventing all the bad/unusable from overwhelming the good. It's called "Quality Assurance".
2 - It turns out that it's hard. You can't get a "great" plan without "great" user stories. And you can't get "great" user stories without some definition of greatness and the Quality Assurance to establish their greatness.
3 - What you're not doing is assuring that all stories meet the quality standards. What you need to do is to assure that all stories meet the quality standards before you use them for estimating.
4 - High quality user stories aren't essential. Bad user stories are part of a great plan because they get reworked to improve their quality.
5 - Don't write very low-level stories early on. If you are planning a release that is 6 months out, no need to fill backlog with 1-2 point stories. That creates too much to manage. Instead, define larger chunks (i.e. epic stories). Break down more important ones which you will start working on first, but leave the other ones at high point estimate. That will help you keep number of stories in the backlog low
6 - As others pointed out, story hierarchies are your friends. Which ties into (1). When you get to a point where better estimate is needed take your Epic (or plain large) story and split it into smaller stories which will become it's children.
7 - In the past, our backlog appeared as unmanageable mess of stuff which served no predictive value. The key, which we've learned in the last release, is to continuously do some form of release planning and periodically check to see what is in the backlog. The order of stories should match the priority in which these stories should be done. As priorities/requirements change, backlog needs to change with them. Periodic reviews will
ensure the team knows what's ahead and
keeps the backlog from becoming a dumping ground
8. if you are missing the "great high-level plan", write down some general, high-level project goals beforehand.
9. Improve vague stories by filling in the real benefit: "so that I'm allowed to ______
10. Arrange stories hierarchically by functional areas.
11. Stop writing value-less goals.
12. Ask: does this user story lead to meaningful and testable requirements?
13. that backlog should never be planned out more than 12-18 months in the future
14 - What's the size of your team? We've split our development group into 3 separate agile teams. This way we have 3 scrum masters, 3 planning meetings and each team only has 1/3rd of the stories that they actually need to manage and shuffle. Our team was split based on functional areas of the product and then the functional areas were adjusted for equal load.
15 - I don't believe there is is an easy-to-learn guideline which can help you - just practice "requirement engineering", and after doing this for some months, you will get better in this job.</t>
  </si>
  <si>
    <t>Londres</t>
  </si>
  <si>
    <t>Falta de linguagem comum para histórias técnicas entre disciplinas diferentes</t>
  </si>
  <si>
    <t>Barreira de comunicação técnica</t>
  </si>
  <si>
    <t>we are finding it very hard to convey enough meaning such that every technical team member can understand it... What could be the technical story's lingua franca?</t>
  </si>
  <si>
    <t>BDD</t>
  </si>
  <si>
    <t>I have coached my team to write quite good user stories using gherkin. The user story's lingua franca would be gherkin.</t>
  </si>
  <si>
    <t>"I have coached my team"</t>
  </si>
  <si>
    <t>Communication and collaboration issues</t>
  </si>
  <si>
    <t>very hard to convey enough meaning...regardless of whether they know enough to estimate.</t>
  </si>
  <si>
    <t xml:space="preserve">1 - For the example of a change to a RESTful API, I would write something like the following:
Scenario: Registered web client calls Foo(int id) method to get a list of Bars.
GIVEN: The client is a registered user of the API
WHEN: The client calls the Foo(int id) method
THEN: The API will retrieve the list of Bars for the passed ID
AND: The API will return the list to the client
2 - Or...
Scenario: Registered web client calls Foo(int id) method with an invalid ID.
GIVEN: The client is a registered user of the API
WHEN: The client calls the Foo(int id) method
THEN: The API will fail to retrieve the list of Bars for the invalid ID
AND: The API will return the following error message to the client: "Bad ID!"
</t>
  </si>
  <si>
    <t>Tallinn, Estônia</t>
  </si>
  <si>
    <t>Dificuldade de estruturar e visualizar o backlog</t>
  </si>
  <si>
    <t>Histórias de usuário enganosos ou pouco úteis</t>
  </si>
  <si>
    <t>the problem is that from above the backlog seems clumsy. I would like backlog (and the board) to display stories in (readably) coherent structure</t>
  </si>
  <si>
    <t>We don't do scrum, we just use backlog and modified kanban board to visualize our progress.</t>
  </si>
  <si>
    <t xml:space="preserve"> summaries are sometimes little bit misleading... I don't know how to go about point 2.</t>
  </si>
  <si>
    <t>1 - Use job stories instead.
2 - You shouldn't expect to understand everything from the summary.
3 - Try to see summaries as "pointers". Your team should have a session to review top backlog items (to get to know the actual "content"). Next time people look at the backlog, by reading the summary, they should have an idea on what each item is about. Reading about backlog refinement might help you.
4 - Now, taking into account your specific Story examples and your Jira usage. If you use a Scrum board instead of Kanban board, you could group the above stories beneath an Epic called "payment by card"... and then, at the Scrum backlog, you could click on this Epic on the Epic filter on the left side of the backlog.</t>
  </si>
  <si>
    <t>Alemanha</t>
  </si>
  <si>
    <t>Histórias vs processamento</t>
  </si>
  <si>
    <t>Relacionar tasks e user stories</t>
  </si>
  <si>
    <t>Here it can get really difficult to relate tasks and user stories. Are there techniques to overcome this issue or is it just something we have to accept and make the best of it?</t>
  </si>
  <si>
    <t>Most of the literature on agile seems to be biased towards CRUD type business applications</t>
  </si>
  <si>
    <t>it can get really difficult to relate tasks and user stories.</t>
  </si>
  <si>
    <t xml:space="preserve">1 - A user story is not the same as a requirement.
2 - What I used to do, and this was a practice my team adopted, was to break down user stories into tasks.
3 - Our approach was to keep user stories focused on what the request was, why it was made, and what things needed to be true to consider the US "done". The how was always left out of the US and left to the developer(s).
4 - Beyond accepting the paradigm shift, practicing, and accrued experience, probably not much more to say. I often saw people trying to take shortcuts through the process. I'd advice against that, especially if you're getting started.
5 - Try to improve your current understanding of the conceptual differences between requirements and user stories and accept they're not the same thing.
6 - Learning from your Sprints - Retrospectives
7 - Agile principles can certainly be applied in these cases. How?
    Compilers can have new language features added later in separate user stories
    Image analysis systems can have new features added as different image classifications
    Fluid flow simulation systems can take different model aspects into account in their simulations
You don't have to eat the entire elephant in one bite. Agile just asks that you show you've cleaned your plate before the next serving of elephant.
8 - I think the obvious solution is to be more pragmatic.
</t>
  </si>
  <si>
    <t>Beirute, Líbano</t>
  </si>
  <si>
    <t>Story map técnico</t>
  </si>
  <si>
    <t>Utilização de user story maps</t>
  </si>
  <si>
    <t xml:space="preserve">My question is: how can user story maps be used to visualize a project like this where there isn't too much of a user story going on. it's mostly stuff going on at the backend to scale operations </t>
  </si>
  <si>
    <t>Lean Start-up</t>
  </si>
  <si>
    <t>I find using story maps a very effective way in convincing clients to use the lean start-up principles</t>
  </si>
  <si>
    <t>Difficulty in decomposition and task structuring</t>
  </si>
  <si>
    <t>I'm struggling on how to lay them out</t>
  </si>
  <si>
    <t>1. Evaluate sub-workflows to determine appropriate approaches for architecture-oriented work</t>
  </si>
  <si>
    <t>1. Measure which sub-workflow benefits most from a scalable cloud service. While 'storymaps' is a great tool for agile projects, in my opinion it is not suitable for your type of project. A storymap is workflow/feature oriented, your example tasks are component/module/architecture oriented.</t>
  </si>
  <si>
    <t>Falta conhecimento produto</t>
  </si>
  <si>
    <t>Escrita fraca de user stories para sistema legado</t>
  </si>
  <si>
    <t>Lack of product/domain knowledge</t>
  </si>
  <si>
    <t xml:space="preserve"> the team is not feeling confident enough in converting the user stories to functionality</t>
  </si>
  <si>
    <t>I am the scrum master for one of the product</t>
  </si>
  <si>
    <t xml:space="preserve"> they were unable to estimate the user stories in the sprint planning meetings.</t>
  </si>
  <si>
    <t>Scrum Master</t>
  </si>
  <si>
    <t>"I am the scrum master for one of the products in a software development company."</t>
  </si>
  <si>
    <t>Sometimes it took multiple sprints to complete a user story.</t>
  </si>
  <si>
    <t>1 - You can increase the accuracy of your estimates with increased Product Owner participation, training and documentation stories, and story spikes.
 2 - All Stories MUST Be Estimated
3 - The estimate should be as accurate as you can make it within the time-box allocated for Sprint Planning.
4 - Estimates Should Include Uncertainty
5 - Spikes
The first step is to reduce your uncertainty as much as possible.
6 - Create Training Stories
7 - Get one SME from the US to travel to India and train the entire team hands-on for a couple of weeks at a minimum.
8 - Get a couple of key team members from India to travel to the US for a few weeks of hands-on training with the SMEs.
9 - In addition to the Product Owner, get one SME from the US team to participate in the Sprint Planning meetings. Get the PO to write-up the stories ahead of the Planning meeting. Get the India team to plan out how they are going to implement them as well as estimate and task out the stories. During the Planning meeting, get the US SME to validate whether that is the right approach.
10 - For better communications, these Planning meetings should be on video, if they are not so already.
11 - Your stories should have a clear list of testable acceptance criteria, if that is not the case already.</t>
  </si>
  <si>
    <t>Trabalhos fora backlog</t>
  </si>
  <si>
    <t>Catogirazação de demanda diferente</t>
  </si>
  <si>
    <t>VersionOne is fine for tracking user stories, but not all work is currently organized into user stories</t>
  </si>
  <si>
    <t>We are taking our first steps in agile and Scrum</t>
  </si>
  <si>
    <t>I am trying to build a sprint plan for the development team</t>
  </si>
  <si>
    <t>"As the development manager..."</t>
  </si>
  <si>
    <t>managing them someplace else means I will either duplicate the VersionOne information in the other system, or I will have two systems tracking the development tasks.</t>
  </si>
  <si>
    <t>1. In Scrum, all work chargeable to the project belongs on the Product Backlog. This includes bugs, training, and research in addition to features. While it is a widely-accepted practice to formulate user stories for placement on the Product Backlog, Scrum doesn't constrain the format. There is nothing preventing you from reformulating the additional work items as user stories and submitting them to the Product Owner for insertion into the Product Backlog. Bugs and chores, non-functional requirements, team or organizational training, research spikes, and any other effort that consumes project resources should all be managed from the Product Backlog. Not adding them to the Product Backlog results in hidden costs to the project and work that is invisible to the organization.
2 - Non-Feature Stories
CodeGnome's Law of Transparency says "No invisible work, ever!" That means that:
bugs and chores;
non-functional requirements;
team or organizational training;
research spikes; and
any other effort that consumes project resources
should all be managed from the Product Backlog. Not adding them to the Product Backlog results in hidden costs to the project and work that is invisible to the organization
3 - From a process point of view, there is nothing preventing you from reformulating the additional work items as user stories and submitting them to the Product Owner for insertion into the Product Backlog.</t>
  </si>
  <si>
    <t>Histórias tecnicamente independentes, mas não valiosas isoladamente</t>
  </si>
  <si>
    <t>Dificuldade em aplicar o critério INVEST ao fatiar histórias interdependentes por questões regulatórias</t>
  </si>
  <si>
    <t>These stories could be implemented independently but are valuable only in conjunction with each other. Is this a valid way of splitting or do the stories also need to be independently valuable?</t>
  </si>
  <si>
    <t>eles usam a técnica INVEST para escrever User Stories mas não cita a metodologia exata</t>
  </si>
  <si>
    <t>If we build just story 1 it seems not to be valuable. If we build just story 2... provides no value.</t>
  </si>
  <si>
    <t>1 - Each story should be valuable independently. But don't get too hung up on it.
-
In your case I would specify the auditing requirement in two parts.
2 - As a stand alone story for the person who needs to look at the audit data:
"As an Auditor I can read/download/export the audit trail on 'the things' in order to meet 'the regulations'"
3 - As a non functional requirement/DoD on any other stories that have to record the data
"Must record X Y and Z to 'the audit system'"</t>
  </si>
  <si>
    <t>L'Aquila, Itália</t>
  </si>
  <si>
    <t>Dependência entre histórias</t>
  </si>
  <si>
    <t>Histórias com dependências</t>
  </si>
  <si>
    <t>Here the problem is whether we should ignore the principle of having isolated user stories (without any dependency between them).</t>
  </si>
  <si>
    <t xml:space="preserve"> Everyone in the team knows that each user story could be picked up by the PO for the next iteration at any time</t>
  </si>
  <si>
    <t xml:space="preserve"> When estimating the first of those stories, the team decided that the function call mechanism would have been an engaging but not completely obvious task</t>
  </si>
  <si>
    <t>"The team, together with the PO, put on the wall a certain number of user stories regarding the various libraries for the IDE user"</t>
  </si>
  <si>
    <t>his immediately raised up the total points for the product of 20 points! [...] those 20 points feel so awfully unrealistic!</t>
  </si>
  <si>
    <t>1. Split the tasks into three groups: (1) Common tasks needed only once, (2) Common repeated tasks, and (3) Specific tasks. Estimate each task separately, where common tasks are estimated only once. When presenting to the customer, give two estimates for each story: one with the "common, needed once" tasks included and one with them excluded.
2. Step away from simplistic. There are are one-time investments that make a group of stories less expensive. You have to actually talk with folks about the architecture instead of pretend that your only interaction is a list of stories to be built. Agile means you have to actually talk with the PO and the customers.
3. pick one of the things dependent on that design work and say that it has to be first and add those points to that one. Make notes on the other stories that they have to come later, and if, for some reason, you change your mind, you can always move the points around
4 - Then you estimate each task, where the common tasks should be estimated only once.</t>
  </si>
  <si>
    <t>Requisitos insuficientes fornecidos</t>
  </si>
  <si>
    <t>Falta de informação</t>
  </si>
  <si>
    <t>"But often enough I find myself in the situation that such information is not provided or in very shoddy fashion."</t>
  </si>
  <si>
    <t>The biggest drawback of agile development I have experienced [...] I've read something like 2 pages in natural language per story in "Planning XP"</t>
  </si>
  <si>
    <t xml:space="preserve">Giving this sentence, project managers expect me as a developer to commit to an estimate and develop the story. </t>
  </si>
  <si>
    <t>"Giving this sentence, project managers expect me as a developer to commit to an estimate and develop the story."</t>
  </si>
  <si>
    <t xml:space="preserve"> They assume that agile development means that sentences like this are all they have to provide to developers.</t>
  </si>
  <si>
    <t>1. What you are calling a user story, I see as at least six: one bare-bones search, and one for each of your bullet points. By all means, make enough plans to avoid painting yourself into a corner that's going to be expensive to get out of, but the whole idea is that you provide the minimum needed to deliver some value, and do it quickly enough to get rapid feedback.
2. You're supposed to take a story and apply "story points", which are a general estimate of complexity from 1 to INFINITY. Generally, any user story that is an 8 or above needs to be broken down into smaller stories. 
3. A critical part of a "user story" is the exit criteria. The exit criteria is a short sentence or two that describes unambiguously how it can be shown that this storage is completed. 
4. That's why having a good client services department that knows the product and the client is invaluable. Your goal, and the goal of client services, should be minimizing the lag time between you developing something and you getting it back from the client with changes that need to be made. And this just comes down to communication and training with your client services.
5 - Also, on the idea of programmers needing everything specified, try to look at it from the customer's point of view. A lot of times, it's like you're going in to buy a car, and the salesman is asking what color you want for the windshield wiper knob. A lot of details we might find important are completely irrelevant from a customer point of view.
6 - You really should only be estimating time once you have accepted the story into the sprint, but even then, there is less emphasis on this. 
7 - There is certainly an element of "training the PMs" here. They have to learn that vague stories result in large story points, and that if they defined the story to ambiguously to get what they want, they have to do it again.
8 - That's why having a good client services department that knows the product and the client is invaluable.
9 - We're having the same problem here, and better communication and training is what's helping us create reasonable deadlines and hit them consistently.</t>
  </si>
  <si>
    <t>Unit testing aumentando esforço e causando falha nas Sprints</t>
  </si>
  <si>
    <t xml:space="preserve">Inexperiência </t>
  </si>
  <si>
    <t xml:space="preserve">testing is taking as much time, if not more, than the development/coding time...This has led us to fail sprints... unit testing ends up taking so long that the stories don't get finished before the end of the Sprint. </t>
  </si>
  <si>
    <t>working in Scrum with 2 weeks Sprints. implementing unit testing as part of our Definition of Done</t>
  </si>
  <si>
    <t xml:space="preserve">...fail sprints... before the end of the Sprint. </t>
  </si>
  <si>
    <t>Sprint instability and planning issues</t>
  </si>
  <si>
    <t>This has led us to fail sprints because unit testing ends up taking so long that the stories don't get finished before the end of the Sprint.</t>
  </si>
  <si>
    <t>1 - But now you need to deliver production quality software. And that takes longer than prototypes. There is little you can do. Improve your estimations to take that into account so you don't fail sprints.
2 - But if your team is not producing enough at the quality you need, there is no silver bullet. You need more people. Hire another Frontend developer and backend developer. Producing production ready software instead of prototypes is easily double the work.
3 - Even though you did not ask: hiring more people gives you a chance to improve your processes.
4 - You need to be able to compensate if one of them has a week of for vacation or has to call in sick. You need to get your team to production size.
5 - The real problem here is that your organization is framing the cost of testing as unwanted overhead, rather than as an expected and necessary cost of doing business for product development, maintenance, and support. Focus on fixing that.
6 - TDD and BDD are not "go faster" buttons. While teams often do get a little more efficient with testing over time, the goals of testing are more closely aligned to:
    - Reducing technical debt.
   - Eliminating certain classes of common or predictable bugs.
   - Creating executable documentation.
   - Making code more flexible through emergent design and comprehensive regression tests.
   - Making testing, support, and maintenance easier by designing the code for testing and debugging right up front.
7 - Testing is not a necessary evil.
8 - You need to budget in more time for testing - and even more time for fixing bugs that are discovered once testing begins.
9 - To "to improve this process so that testing is more streamlined/faster", make testing the focus, not a punishment added on post-scheduling.
10 -You mention that your stories are large and cannot be shrunk. Possibly you need the help of an experienced Technical Project Manager, to help explain to your team how to shrink the stories.</t>
  </si>
  <si>
    <t>Lyon, França</t>
  </si>
  <si>
    <t>Histórias dependentes</t>
  </si>
  <si>
    <t>The problems I see with having 2 separate stories is that: US2 depends on US1 to be achievable (this breaks the I of INVEST right ?).
US1 without US2 does not bring any real business value. Releasing the product with only US1 would provide the capability to design card views that are useless without US2.</t>
  </si>
  <si>
    <t>I'm struggling to find the best way to use scrum and user stories on the following case</t>
  </si>
  <si>
    <t>Releasing the product with only US1 would provide the capability to design card views that are useless without US2.</t>
  </si>
  <si>
    <t>1. The best approach is to keep the stories separate. To demonstrate that users can use a 'card view' to browse the database only requires that some form of card view is available. Thus you can demonstrate US2 with one or two hard-coded card views and inform the stakeholders that there is another story underway to allow a user to create them. You also shouldn't be fooled by the 'delivery' you make at the end of a sprint. You deliver a potentially shippable product. This doesn't mean that it will be shipped to customers. A product with only one of two related stories most likely won't be shipped in that form. 
2. In Agile/Scrum we try to deliver small slices of end-user value by vertical slices across different architecture layers. Scrum advocates doing all functional work needed to deliver end-user value within the same story. For your example, you can probably use Pattern #8. You can write one story that allows the user to view the data. You can write other stories for creating, editing and deleting data.
3. If you are writing user stories for the team creating Microsoft Access and you want to have the functionality to 1) design a card view in the IDE and 2) have the card view render a certain way to users, then you do, in fact, have two user stories that are independent. If you were to do US1 first, maybe you have a big developer conference next week and being able to show the design of the card view during a code session could be unbelievably valuable. You may choose to wait and release them both at the same time, but that's a business call.
4 - The best approach i to keep the stories separate
5 - You also shouldn't be fooled by the "delivery" you make at the end of a sprint. You deliver a potentially shippable product. This doesn't mean that it will be shipped to customers, but only this: If the Product Owner finds that the product has sufficient business value to actually ship, then he can ship it without additional work from the development team being needed.
6 - Split stories into small vertical slices
7 - You can read this article for different ways of slicing a large user story into smaller vertical slices. For your example, you can probably use Pattern #8. You can write one story that allows the user to view the data.</t>
  </si>
  <si>
    <t>Costa Rica</t>
  </si>
  <si>
    <t>Como determinar o custo monetário de um Story Point</t>
  </si>
  <si>
    <t>Estimar custo de história</t>
  </si>
  <si>
    <t>How can I determine the monetary cost of a user story point in a given team? I have no clue how one could determine the cost of a story point</t>
  </si>
  <si>
    <t>The team assigns T-shirt...planning poker... team velocity.</t>
  </si>
  <si>
    <t>after trying planning poker for a while...  team delivers (on average) the same amount of subjective story points per iteration</t>
  </si>
  <si>
    <t>"How can I determine the monetary cost of a user story point in a given team?"</t>
  </si>
  <si>
    <t>We won't know our velocity for a while.  how much a given project would cost.</t>
  </si>
  <si>
    <t>1. don't convert story points into money
2. story points do not convert to time
3. estimate how long it would take to do that particular chunk of work
4. Use story points as relative estimates, not as time or cost equivalents.                                                                                                                                                                                                                                                                                                           5. Keep time and cost estimates separate from story point estimation.</t>
  </si>
  <si>
    <t>1 - You don't convert story points into money. The cost of a software development effort is a function of the team for a period of time, perhaps considering resources if you forward those costs along. 
2 - However, story points do not convert to time, so you cannot use them as an input into cost. Story points are also highly volatile, so even if you tried to convert story points to time, it would not be a long-lasting function.
3 - The common answer is that you know how long it takes to pay for a team to work for a period of time. Given an ordered (often considering priority and dependencies) set of work, you can estimate how long it would take to do that particular chunk of work.
4 - Story points are supposed to be abstract, they are only ever intended to be used as a relative measurement that is quick to estimate. Once you attempt to translate story points into a cost (e.g. 3 points is 15 hours) you get a false sense of accuracy, and your estimates become much harder to come to a consensus on.
5 - If you need to give time / cost estimates, you can, but that should be entirely separate from your point estimates.</t>
  </si>
  <si>
    <t>Estimativa com Story Points</t>
  </si>
  <si>
    <t>Dificuldade em pontuar tarefas de infraestrutura/DevOps muito grandes</t>
  </si>
  <si>
    <t>How do you accurately apply story points to very big tasks? thanks</t>
  </si>
  <si>
    <t>the task is just too big [...] try to break the user story further to make it easier to estimate it's complexity, but then find that we cannot since the story is the task.</t>
  </si>
  <si>
    <t xml:space="preserve">1. whole team and stakeholders agree on what estimating techniques measure
2. measure time directly
3. standup-to-standup timebox is a process control
4. story points are an intermediate value to estimate capacity
5. time estimations give a false feeling of safety
6. story is NOT the task
7. convert big story to an epic
8. think about sprint duration
9. respect the time box
10. mapping is dangerous
11. Story is too big, you may also convert it to an Epic and add Stories to them. </t>
  </si>
  <si>
    <t>1- To be successful at agile estimation, make sure that the whole team and the stakeholders within the organization all agree on what your estimating techniques actually measure.
2 - If you're only going through the motions of treating relative-sizing as an unanchored level-of-effort estimate, then stop doing it and just measure time directly. You won't be any more accurate in your planning activities, and in fact may be less so, but at least you won't frustrate everyone by calling a comb a "dinglehopper" as Princess Ariel does in The Little Mermaid.
3 - The daily standup. We care about whether coordinated tasks are on track or not, and can use the 1-2 day rule of thumb for tasks to determine whether or not a story is on track or at risk. However, the standup-to-standup timebox is a process control, not a measure of velocity or a benchmark for team accuracy.
5 - Story points are really just an intermediate value to estimate capacity. They work well, but there are other estimation techniques. On of my favorites is TFB/NFC/1, which is a system where you determine if a story or set of stories:
    fits into a single Sprint (1)
    is too big to fit into a single Sprint and should be decomposed or refactored (TFB)
    can't be estimated as-is or with the team's current knowledge (NFC)
6 - I understand the desire to map complexity (story points) to time / money (hours / dollars), but as Jeff Sutherland puts it: (...) Meaning that time estimations are mostly wrong and gives you a false feeling of safety.
7 - Maybe you re-think the way you cut your stories, to make sure the story is NOT the task.
8 - If your Story is too big, you may also convert it to an Epic and add Stories to them.
9 - You may also think about sprint duration, why does it have to be 1 week? Most teams I know run good with 2 weeks (also reduces the number of Plannings, Reviews and Retrospectives).
1. Story points are really just an intermediate value to estimate capacity. One of my favorites is TFB/NFC/1, which is a system where you determine if a story or set of stories: fits into a single Sprint (1), is too big to fit into a single Sprint and should be decomposed or refactored (TFB), or can't be estimated as-is or with the team's current knowledge (NFC). The key strategy is to ensure that the team respect the time box. Plan only enough work to fit the iteration, and continuously refine your planning and estimation process until you can do that reliably most of the time.
2. There are tasks that are very complex but may be done in a short time AND there are tasks that are really simple, but take a lot of time to implement. So the mapping is dangerous. If you insist on mapping, use 5SP (Very Hard) -- but this should be something that can be made in 5 days. Maybe re-think the way you cut your stories, to make sure the story is NOT the task. Stories greater than 3 can be mostly splitted somehow. If your Story is too big, you may also convert it to an Epic and add Stories to them. You may also think about sprint duration -- why does it have to be 1 week? Most teams run well with 2 weeks</t>
  </si>
  <si>
    <t>Dificuldade de fatiar verticalmente (vertical slicing) em sistema complexo</t>
  </si>
  <si>
    <t>Dificuldade em fatiar verticalmente histórias em sistemas distribuídos complexos</t>
  </si>
  <si>
    <t>The problem now is using this user story to vertically slice... do we slice across the entire system?If we are to see each PBI as a deliverable unit that provides value to the user, there doesn't seem to be a way to break this down. Are we just being too rigid with our interpretation of Scrum?</t>
  </si>
  <si>
    <t>We are a small team of 4 software developers trying to use Scrum.</t>
  </si>
  <si>
    <t>"We are a small team of 4 software developers"</t>
  </si>
  <si>
    <t>we would need to implement all of the OAuth behaviour...most of the JS framework... all the database structure... there doesn't seem to be a way to break this down.</t>
  </si>
  <si>
    <t>1 - So the point of vertical slicing is to take something like the database and say precisely, “I do not need the whole database right now.” So let’s validate your claim: do you need the database?
2 - Let us be clear about what a database does: it distributes changes of state across several servers, and persists those changes when the server restarts. If you want plain persistence but no distribution, you can write to a local JSON file or so. If you want distribution but no persistence, you can have nodes broadcast messages to each other e.g. with ZeroMQ.
3 - So you don’t need a database. You might need (if you have a list mapping some smartcard tokens to some sort of internal username) some static JSON file...
4 - Similarly, do you need a big Javascript SPA? I don’t think so—you might need a card reader or an HTML form depending on whether it’s a hardware token displaying some digits or something more interesting.
5 - Do you need a permissions structure? No, the only permission your user story covers is “is able to log in with a username and a smartcard associated with that username” and that is a global permission.
6 - In fact you should desire this. I would strongly recommend that you delay creating the database as long as possible, which means, until you have real users who will get grumpy both about downtime and about their changes not being persisted over server restarts.
7 - The short answer is: no, do not slice through all of it unless the thing you are doing actually goes through all of it, then keep it limited in scope.
8 - Also, start with simple architectures. You almost certainly don't need all of those things to support your first few backlog items.
9 - I've found that a good starting point is the idea of technical enablement. You have a top level expression of a need, but you can create other Product Backlog Items that can enable that. Each one should be able to be designed, built, tested, and delivered independently. Perhaps, alone, they don't satisfy the final user need, but they allow you to plan the work and ensure that you have what you need.
10 - Depending on the tooling that you are using to manage your Product Backlog, you may be able to set relationships and links between the work to identify that a technical enablement item "blocks" other work or set dependencies appropriately. This can help in planning and scheduling the work, making sure that everything required is done and delivered when its needed.</t>
  </si>
  <si>
    <t>Quebec, Canadá</t>
  </si>
  <si>
    <t>Como definir e estimar histórias com trabalho artístico subjetivo e imprevisível</t>
  </si>
  <si>
    <t>Dificuldade em definir e estimar histórias de usuário para trabalhos artísticos devido à sua natureza</t>
  </si>
  <si>
    <t xml:space="preserve">an artistic story can take a long time to finish, due to the nature of the work. the 2 first tasks are subjective, so the artist can take a long time doing iterations. the time to complete it can still be greater than the sprint, or the effort estimation could be way off. </t>
  </si>
  <si>
    <t>Using Scrum, what would be the way to define, structure and estimate a user story...greater than the sprint...</t>
  </si>
  <si>
    <t>greater than the sprint</t>
  </si>
  <si>
    <t xml:space="preserve">effort estimation could be way off [...] breaking this story in smaller parts is making an "horizontal slice" of the app and not a "vertical one" as would be better. </t>
  </si>
  <si>
    <t>1. biggest value to the user in the shortest time
2. not everything in the backlog has to be a User Story
3. backlog items should be close-ended
4. Prioritize early value delivery over complete or perfect solutions                                                                                                                                                                                                                                                                                                           
5. story too big to fit into a single iteration
6. apply the same measures you use when developing the code
7. understand the needs of the story
8. focus on the minimum viable
9. iterate rapidly
10. show new versions to key stakeholders as often as you can
11. collect feedback early and often
12. measure, collect data
13. stop when it's good enough for now
14. Use cross-domain analogies to overcome creative or technical blocks</t>
  </si>
  <si>
    <t>1 - Now, to break this down, I want to ask two questions:
    What delivers the biggest value to the user in the shortest time (in traditional project management this was called weighted shortest job first, or WSJF)
    What are the riskiest unknowns in delivering this to the user?
2 - ow my first backlog item will focus on confirming my design. You may notice I didn't say User Story. Not everything in the backlog has to be a User Story. Here, my biggest concern is making sure I've got a design that will really land with the players, so that concept art is key. That's probably my first thing and I will almost certainly show it to real players and see the reactions. If it doesn't land, I haven't spent a lot of time modeling and integrating it.
3 - It is important to note that backlog items should be close-ended. The concept art could absolutely get more feedback that results in more work. Open-ended tasks assume that the work is worth it no matter how much it costs. I've never seen a task where this is true. Instead, we make it close-ended.
4. Agile promotes the usage of the Minimum Viable Product. In the case of the video game, you wouldn't be too concerned about having the best shaped car of all times from iteration one. The goal is to have a conceptual functional car that does basic operations. If the car is expected to be optimally delivered, it would become an Epic. You can decide the best approach by assessing how you can deliver value faster and better.
5 - From the other perspective, there may be cases where the car itself is expected (for any reason) to be optimally delivered (i.e. we're assuming that delivering a single car would add business value, which is something very unusual unless the game itself is already in production). Being that the case, the car in itself would be a story too big to fit into a single iteration... and per definition, would become an Epic.
6 - Try applying the same measures you use when developing the code, I think you'll get quite far.
7 - make sure you understand the needs of the story
8 - focus on the minimum viable
9 - iterate rapidly
10 - show new versions to key stakeholders as often as you can
11 - collect feedback early and often
12 - measure, collect data
13 - stop when it's good enough for now and something else is more important
14 - Whenever you (or your artist) are stuck, look to parallels in other fields and apply the same methods</t>
  </si>
  <si>
    <t>Dificuldade de planejar backlog</t>
  </si>
  <si>
    <t>Incerteza no planejamento de histórias que geram novas demandas imediatas</t>
  </si>
  <si>
    <t>does anyone have any tips on how to plan a backlog multiple sprints in advance. [...] It's beginning to get really tough committing to even a one week sprint as we can't commit a week's worth of user stories.</t>
  </si>
  <si>
    <t>I would like to know if anyone is in a similar situation working as part of a SCRUM team</t>
  </si>
  <si>
    <t xml:space="preserve">not wait for the next 2 week sprint.[...] committing to even a one week sprint </t>
  </si>
  <si>
    <t xml:space="preserve">because so much of what they do is unknown in advance...  new variables / methods / software / hardware / even the fundamental problem may change </t>
  </si>
  <si>
    <t>1 - Scrum, and fixed length sprints may not be the answer. Maybe the focus should be on the ability to groom stories and develop a backlog (when feasible) and to limit work in progress, so that the team members aren't overwhelmed. In such a case, Kanban might be a better solution.
2. I suggest to link tasks, work and backlog around milestones/epics and trial different options. Every time someone needs to do a new task, they should log it and add the relevant data to it (experiment? second iteration of the results of another? new research? time that it took, project, etc). Be as specific as possible. Once you have enough data, you would be able to understand what your team is spending their time on, how much time on average on each type of task, and then you can think about the best planning strategy and also the pace of your team
3 - It seems like having a good description of the tasks will be very helpful.</t>
  </si>
  <si>
    <t>Como estimar épicos vagos para previsão inicial</t>
  </si>
  <si>
    <t>Epics imprecisos; Falta de refinamento;</t>
  </si>
  <si>
    <t>Poorly defined or missing acceptance criteria</t>
  </si>
  <si>
    <t>Let's say we have a brand new project and we want to raughly come up with a bunch of releases and its dates. How do you get the team to estimate them? Epics have normally no acceptance criteria and are quite vague</t>
  </si>
  <si>
    <t>run a couple of sprints, figure the team's velocity and do the math.</t>
  </si>
  <si>
    <t>Release Planning</t>
  </si>
  <si>
    <t>run a couple of sprints</t>
  </si>
  <si>
    <t>Epics have normally no acceptance criteria and are quite vague so the team might get a bit puzzled.</t>
  </si>
  <si>
    <t xml:space="preserve">1 - Epics are much larger. They are collections of stories. You don't work on an epic, you split that epic into stories and work on those stories. The epic will then simply have the points of all its stories combined.
2 - The way you find out how many story points an epic has is by splitting it into stories, discussing those stories, detailing what needs detailing, estimate the stories, and get back a total of story points for the epic itself. And you do that as you refine your backlog and as you plan your next sprint. You don't do that for all the epics in the backlog.
3 - The standard approach to estimating is to take large work items and split them in finer details that you can estimate with some confidence. This mean taking all the epics and splitting them into stories.
4 - When estimating epics, there are two things that hold the same as for estimating stories:
    a discussion that leads to a consensus about the size of an item;
    relative sizing of items.
5 - So, you take your epics and you start discussing them enough to determine their size. You can't say 300 story points (SPs) without going into many details, but you can discuss enough to say that this is "Large". You do this for all the epics and you put them in buckets of relative size: XXS, XS, S, M, L, XL, XXL.
</t>
  </si>
  <si>
    <t>Hamburgo, Alemanha</t>
  </si>
  <si>
    <t>Mapeamento histórias tickets</t>
  </si>
  <si>
    <t>Dificuldade na criação de tarefas</t>
  </si>
  <si>
    <t>What would a Task-Ticket look like?
Is it a user-story like: As a guest I want to be able to register myself with the site or should I split them into tickets/tasks like Create a registration page/form, Send an email to to the user when registered. Is it a good practice to use user stories, or what is the best way to go?</t>
  </si>
  <si>
    <t>But I still have difficulties understanding how I exactly should use a ticket system</t>
  </si>
  <si>
    <t>1 - What is important is to maintain the relationship between the task and the parent user story as the story conveys the value to the customer that underlying tasks should enable upon implementation.
2 - Finally, consider that issue tracking and task tracking are 2 distinct activities.
3. Create a GitHub milestone to correspond to a feature or user story when ready to start decomposing it, then file an issue for every associated task and assign it to that milestone. This way you will easily be able to see all the work associated with the new feature, see progress through the sprint, see new associated work appear as tasks need further decomposition. Milestones can have due dates for the end of the sprint. If working multiple features in a given sprint, have multiple milestones with the same due date to see the progress of each feature independently.</t>
  </si>
  <si>
    <t>Dúvida sobre adequação de critérios de aceitação</t>
  </si>
  <si>
    <t>Critério de aceitação de user storie</t>
  </si>
  <si>
    <t>I'm working on acceptance criteria for user story on interface adapting for multi-device Web based application.
I assumed that interface adapting should be very common issue for most of products, I have tried to google possible acceptance criteria, but had no much success.
Would you say that the above user story and the acceptance criteria are adequate?</t>
  </si>
  <si>
    <t>As for acceptance criteria I have come up with following:</t>
  </si>
  <si>
    <t>I have tried to google possible acceptance criteria, but had no much success. Would you say that the above user story and the acceptance criteria are adequate?</t>
  </si>
  <si>
    <t>1 - I think that your acceptance criteria are a bit to specific on the implementation details. For example, “Main page” has to fit, then “Log in page” must fit, etc.
2 - Your acceptance criteria should probably capture general rules that apply no matter the device then introduce some "breakpoints" for how many designs you want to build (basically the view port sizes where your @media queries start to dictate how elements appear on the screen).
3 - So I would personally start with a few rules like:
    application needs to be responsive;
    horizontal scroll should not show up, content gets expanded vertically when not enough available space
    min/max widths for media queries are 360×640 for mobile, 768x1024 for tablet, 1920x1080 for desktop (or some commonly accepted dimensions);
These should be enough for designers to accommodate the UI/UX for the three use cases (mobile, tablet, desktop) and for front-end developers to add the media queries to handle the elements in the page.</t>
  </si>
  <si>
    <t>UX sem valor direto</t>
  </si>
  <si>
    <t>UX sem valor em histórias</t>
  </si>
  <si>
    <t>In our case the UX design stories don't provide such value (they are more like a backlog grooming activity).</t>
  </si>
  <si>
    <t xml:space="preserve">However in Scrum you are only supposed to have user stories that provide value to the user. [...]  it goes somewhat against Scrum principles.
</t>
  </si>
  <si>
    <t xml:space="preserve"> if you don't have screen mockups and clear specifications you can't really estimate the work during Sprint Planning.</t>
  </si>
  <si>
    <t>Methodological inconsistency</t>
  </si>
  <si>
    <t>it goes somewhat against Scrum principles.</t>
  </si>
  <si>
    <t>1 - Value isn't measured only in lines of shippable code.
2 - Don't get hung up on scrum dogma. Scrum is there to make you more efficient. If doing a UX story one sprint before you implement the UI helps you deliver better software, do it.
3 - A basic requirement of Scrum is that the scrum team has all the skills needed to create a potentially releasable product. In the situation you describe, this is not happening.
4 - If you have discovered a way of working that delivers value for you all, and you're all happy with it, keep doing it. My only advice would be to inspect and adapt frequently.
5 - User stories should be aligned with user needs, not just backlog. The UX stories need to have clear value to users. This does not require complete specification, and a short statement such as,
"Users will have easier access to account activity on a single page rather than divided between multiple pages"
is amenable and adaptable to various implementations and yet still clear about the value to the user (easier access to account activity).
6. The main disadvantages are: (1) You are pipe-lining: if your designers are late, your developers are left without work -- it is not sustainable. (2) You are paying costs for stories that may or may not be developed. (3) Your UX designers are making decisions in advance without involving the developers -- you are missing useful insights and increasing the risk that the designs are flatly wrong or unrealistic. (4) Excluding or disempowering your developers is not sustainable. (5) Designers are not delivering value: it's hard to prioritize their work correctly. (6) You are assuming that a story that fits in one iteration for the designers fits in one iteration for the developers.
7. My only advice would be to inspect and adapt frequently. Note, however, that if your aim is to deliver software using Scrum, you'll need to address the dysfunctions identified.
8 - Take a step back, and reassess.
9. In Scrum the scope for sprint N+1 is normally determined right before it starts. So how can you do UX for sprint N+1 stories in sprint N before you know which stories will be in scope. If you decide to fix the scope for sprint N+1 at the start of sprint N you lose some flexibility.
10. The UX stories are providing lots of value to their user. The thing is: their user is not the company's final user, their user is the development team that will implement the feature at sprint X+1.
11. Your group is misusing scrum because you're merely filling in mechanics to make an existing design work. You don't actually need or benefit from scrum in any way because you are in a service group and your work flows forward from the UX people who have already done the agile/scrum parts.</t>
  </si>
  <si>
    <t>Baixa, correlação, estimativas</t>
  </si>
  <si>
    <t>Correlation, stoy points, task</t>
  </si>
  <si>
    <t xml:space="preserve"> I noticed that the correlation between story points and task hours is not very good. That is, we often have stories of lesser points decomposed into a total task hours greater than stories of higher points.</t>
  </si>
  <si>
    <t>Our development team is pretty new to the scrum process</t>
  </si>
  <si>
    <t xml:space="preserve">At the planning phase, identify outliers after the task hour break-down process and look at these further. </t>
  </si>
  <si>
    <t>"...so I would like to help refine our methods to make better use of it." trecho que mais se aproxima do papel (TL/desenvolvedor)</t>
  </si>
  <si>
    <t xml:space="preserve"> it seems to me that if sprint points and task hours don't correlate well, then we must be doing a bad job at estimating either one or both of these.</t>
  </si>
  <si>
    <t>1. Different purposes explain the poor correlation.
2. 2: Assigning tasks based on the developer's skill level.</t>
  </si>
  <si>
    <t>1. They don't really collerate well because as you said, they are used for different purposes.
2.   "Also, you know your devs and there skill level, so if you have a junior dev, dont give him the 3's, but the 1's so that he does not drown. ."</t>
  </si>
  <si>
    <t xml:space="preserve">Rework excessivo </t>
  </si>
  <si>
    <t>Histórias sequenciais gerando retrabalho</t>
  </si>
  <si>
    <t>Rework and delivery issues caused by user story problems</t>
  </si>
  <si>
    <t>I feel something is wrong when user stories seem to produce so much rework! [...] What would be the best Scrum approach here? Should there be something like a special Sprint for architecure/ design at the beginning (and from time to time again)?</t>
  </si>
  <si>
    <t>We are currently setting up a scrum team [...] Ok, now we are going to use Scrum for the first time. Next week will be the first Sprint Planning</t>
  </si>
  <si>
    <t>Next week will be the first Sprint Planning Meeting and I know the user stories are like</t>
  </si>
  <si>
    <t>Rework and future pressure</t>
  </si>
  <si>
    <t>I fear and expect a lot of rework [...]  refactoring from design A to design B is more expensive</t>
  </si>
  <si>
    <t>1 - Rework done under iterative approach (which may have user stories as its part) is still rework. But the approach enables you to select rework which brings the most value, deliver it faster and get feedback faster.</t>
  </si>
  <si>
    <t>Cardiff, Reino Unido</t>
  </si>
  <si>
    <t>Dificuldade em criar histórias modelo INVEST</t>
  </si>
  <si>
    <t>Dificuldade em aderir ao Scrum e ao INVEST devido a dependências estreitas</t>
  </si>
  <si>
    <t xml:space="preserve">I'm struggling to adhere to Scrum and INVEST... It's specifically the ability to make them independent and releasable that I just can't seem to fathom. </t>
  </si>
  <si>
    <t>However, in Scrum, using INVEST principles, each story should be at the very least releasable and independent.</t>
  </si>
  <si>
    <t xml:space="preserve"> I cannot do the validation until the backend endpoint and the frontend modal window has been completed...we need the database schema...  which acts as a dependency for the entire project.</t>
  </si>
  <si>
    <t>1 - First, don't break down the item. In this case, the work item (the story, ticket, whatever) represents the minimum valuable delivery of the work and can be estimated by the team and worked on.
2 - Second, break down the item into smaller pieces, each of which can be developed and tested, but may not necessarily be deployable. After each piece, you can confirm that the system is functional (no loss of existing functionality) and you can execute some level of testing against the work done, but the individual pieces may not have value for the end user and may not be shippable until all pieces are done.
3 - I'm going to lean towards breaking it down.</t>
  </si>
  <si>
    <t>Chennai, Índia</t>
  </si>
  <si>
    <t>Conhecimento centralizado histórias</t>
  </si>
  <si>
    <t>A dev team is willing to work only on the same user story which they have started previously, stating that they know it very well and will finish it easily.</t>
  </si>
  <si>
    <t>"How to keep all the developers on the same page in Scrum?"</t>
  </si>
  <si>
    <t>If it is covered during sprint planning meeting then the meeting will take more than a day to discuss everything.</t>
  </si>
  <si>
    <t>"We are a small team of 6 developers."</t>
  </si>
  <si>
    <t xml:space="preserve">How to keep all developers informed about all user stories? </t>
  </si>
  <si>
    <t>1.  you can demonstrate why it is good to share or switch user stories (until it doesn't risk the delivery dates). Take the last Sprint as an example, and pick one team member, and ask the team what would have happened if got removed from the team in the middle of the Sprint? Have a discussion, and put down the findings. Then, pick another member, and do the same. Repeat this until the team concludes that it is impossible to continue Sprint. Collect the findings, and let them figure out how to increase the bus factor by one.
2 - I suggest to have a retrospective, where you'll try determine the bus factor of the team (how many members should leave the team in order to make the delivery impossible).
3 - Such idea puzzles me of course, cause if your team has variety of skills, each user story should be touched by as many hands as needed in order to drive it home safely.</t>
  </si>
  <si>
    <t xml:space="preserve">Dificuldade escrever histórias </t>
  </si>
  <si>
    <t>Dificuldade em escrever user stories</t>
  </si>
  <si>
    <t>User story writing improvement need</t>
  </si>
  <si>
    <t>I would like to improve my user stories writing abilities so I need your experience and guidance.</t>
  </si>
  <si>
    <t>É mencionado sprints e o uso de User Stories, a metodologia não é explicita</t>
  </si>
  <si>
    <t>Breaking relationships also helps better sprint cycles because one story can't stall the whole sprint.</t>
  </si>
  <si>
    <t>Providing these instead of benefits makes it easy to see why certain user story is more important than the other? So it helps prioritisation.</t>
  </si>
  <si>
    <t>1 - Write user stories for reliability, security, capacity or any other quality that is deemed important.
2 - I watched the agile team here at work create activity diagrams (flow charts) of the business process. These diagrams were used to analyze the feature dependencies. Another approach might be to create PERT diagram in a big all-day session with the customer. In the end, some other artifacts will be necessary to support the user stories.
3 - Epic!
A narrative that describes the scope of a project is a good idea. There should be something like a statement-of-work or a project charter. No serious project should be without one. These documents provide a starting place for identifying user stories.
4 - Understanding the context would have been helpful before I went to the business analyst for clarification.
5 - This user story is testable. Average day time call volume can be determined from log files. Performance testing can be conducted to determine if the requirement has been met. Even better, the users and developers have agreed on the success criteria well in advance of the end of the project. Testable requirements are a beautiful thing.</t>
  </si>
  <si>
    <t>Gainesville, Flórida</t>
  </si>
  <si>
    <t>Critérios mal definidos</t>
  </si>
  <si>
    <t>Definir criterios de aceitação</t>
  </si>
  <si>
    <t>we struggle to define clear acceptance criteria while grooming/planning our user stories.</t>
  </si>
  <si>
    <t>I am a developer in the scrum master</t>
  </si>
  <si>
    <t>while grooming/planning our user stories</t>
  </si>
  <si>
    <t>"I am a developer in the scrum master role and need to get the whole team"</t>
  </si>
  <si>
    <t>This alienates our QA members as they don't really have complete understanding of what to test.</t>
  </si>
  <si>
    <t>1 - There is a concept of "steel thread" that we used back at one of my previous jobs where the user story itself is a specific requirement that has a very particular expectation. Anything outside of that particular expectation should be its own user story.
2 - When you get to acceptance tests that defined what is NOT supposed to happen, that actually, in my opinion, should be its own user story.</t>
  </si>
  <si>
    <t>Viena, Áustria</t>
  </si>
  <si>
    <t>Conflito na estimativa</t>
  </si>
  <si>
    <t>What should the Scrum Master do if the story is judged very differently by the team members, but they can't convince each other enough to agree on a story-point estimate?</t>
  </si>
  <si>
    <t>During estimation, the Product Owner presents a user story... [...]  What should the Scrum Master do...</t>
  </si>
  <si>
    <t>Or accept this user story as "high-risk" with only a semi-commitment during Sprint Planning?</t>
  </si>
  <si>
    <t>I assume that if the issue is not clarified the 20-point faction will not commit to the user story if it is (in their eyes) under-estimated.</t>
  </si>
  <si>
    <t>1. Manage estimation uncertainty by removing outliers, decomposing disputed tasks, and adapting backlog dynamically                                                                                                                                                                                                                                                        2. Break down high-point stories to identify uncertainties and add research spikes                                                                                                                                                                                                                                                                            3. Use planning poker to increase transparency, reduce uncertainty, and expose risks to stakeholders.
4. discussing outlier estimates until reasonable compromise is reached.
5. scheduling research story to build proof-of-concept before estimating.</t>
  </si>
  <si>
    <t>1. (1) Discard outliers, then calculate the mean. This is usually my preferred method when a story has been properly decomposed.
(2) Calculate the average, including any outliers. (3) Split out contentious tasks into separate-but-dependent stories that can be estimated separately. (4) Remembering that estimates are educated guesses, not promises written in stone. The PO can work with the team to split or rewrite stories, or re-prioritize the Product Backlog on-the-fly to swap in a different story that fits better within the current sprint.
2. Product Owner should ask those who see this story as a 20-pointer to break this story down to 3-5 point pieces; this will help to identify the problematic spot and (if necessary) add one or more research spikes in order to clarify the situation.
3 - Much of Scrum's value to an organization is in creating transparency. 100% agreement isn't the real point of planning poker; the goal is actually to narrow the cone of uncertainty around feature estimates as much as possible, and to make the level of effort and potential project risks of each story visible to stakeholders through their chosen proxy, the Product Owner.
4 - The key, of course, is that people need to talk about why their estimates are outliers, so that the team can consider this information when re-estimating each round. If you still have outliers after discussion has been exhausted or when the time-box has expired, then you have to use your team's defined process to find a reasonable compromise.
5 - the prudent approach would be to schedule a one-point research story first to build a proof-of-concept. Based on the outcome, the whole team can learn something and move forward more confidently and cohesively.</t>
  </si>
  <si>
    <t>Histórias bloqueadas dependentes do cliente</t>
  </si>
  <si>
    <t>Histórias não concluídas por falta de informações do cliente</t>
  </si>
  <si>
    <t>stories that are not considered done because of missing information from the customer. I am waiting on the customer for some answers.... the stories will be shifted to next sprint.</t>
  </si>
  <si>
    <t>I am new to Agile.</t>
  </si>
  <si>
    <t>I have a sprint with 60 user stories... at the end of the last 2 sprints</t>
  </si>
  <si>
    <t>"me as a leader"</t>
  </si>
  <si>
    <t>this can put my team, as well as me as a leader, under pressure.</t>
  </si>
  <si>
    <t xml:space="preserve">1 - The first is to work on something else, something on which you are not blocked and don't need to wait for answers.
2 - The second is for people to stay idle while they expect an answer. Basically the story is blocked and you just wait until you get the information you need.
3 - Work on getting your customer more involved. If they don't want to get more involved, then they must accept the fact that people won't be able to work at full capacity because they are awaiting answers
</t>
  </si>
  <si>
    <t>Estimativa sem UI definida</t>
  </si>
  <si>
    <t>Incerteza técnica por ausência de definição visual</t>
  </si>
  <si>
    <t>I can't estimate accurately enough at this stage of the process as some elements are missing i.e. UI.</t>
  </si>
  <si>
    <t>Our company is trying to follow Agile methodologies when it comes to estimating and prioritizing any new development work</t>
  </si>
  <si>
    <t xml:space="preserve"> she needed estimates so she could plan the sprints and get a costing for the project.</t>
  </si>
  <si>
    <t>"Our BA then asked us to estimate these stories. I went, hang on."</t>
  </si>
  <si>
    <t>a story is bigger than you thought so blows out</t>
  </si>
  <si>
    <t>1 - Some say that in an ideal world the team will do all of that in a sprint -- but only enough UI design for that sprint. Others are more pragmatic and say it can't be done, and will do design in one sprint and coding and testing in another, or design and coding in one and testing in another.
2 - A common pattern is to do design work / UI stories in one sprint and code in the next.
3 - That being said, estimates are just that: estimates. Nothing in scrum requires that they are accurate only that they are consistent over time.</t>
  </si>
  <si>
    <t>Desbalanceamento de Trabalho</t>
  </si>
  <si>
    <t>Sizing conflitante</t>
  </si>
  <si>
    <t>we cannot make a sizing that make sense for both the devs and testers inside the same sprint.</t>
  </si>
  <si>
    <t>we are using Jira for Scrum.</t>
  </si>
  <si>
    <t xml:space="preserve">when planning the sprint there is a high chance that one side with have 75% of the workload </t>
  </si>
  <si>
    <t xml:space="preserve">one side with have 75% of the workload and the other almost nothing to do. And if we size for only one of the side, we ensure that one side will have the right amount for the sprint but the other side might not. </t>
  </si>
  <si>
    <t>1. Dev and testing overlap challenges story completion within a sprint.                                                                                                                                                                                                                                                                                                                 2. Well-specified stories enable developers to complete and validate work independently.</t>
  </si>
  <si>
    <t>1. It is impossible for testers and devs to work on the same story in the same sprint if they are committed to finishing the story. If you must do it then you will have to break a rule. Have the testers work on v2 of the story, have the devs commit to technical tasks rather than entire stories or have the tester work on the stories in advance of the devs.
2 - If The story is fully specced the dev should be able to complete the work in half a sprint. The tester has no work to do as the dev will test thier code against the spec before delivery.</t>
  </si>
  <si>
    <t>Problema - Código</t>
  </si>
  <si>
    <t>COUNTUNIQUE de -&gt;Problema código final</t>
  </si>
  <si>
    <t>COUNTA de -&gt;Problema código final</t>
  </si>
  <si>
    <t>Lack of clarity and completeness in user stories Total</t>
  </si>
  <si>
    <t>Lack of product/domain knowledge Total</t>
  </si>
  <si>
    <t>Poor decomposition and granularity of user stories Total</t>
  </si>
  <si>
    <t>Poorly defined or missing acceptance criteria Total</t>
  </si>
  <si>
    <t>User stories framed as solutions or technical tasks Total</t>
  </si>
  <si>
    <t>User stories lacking user value orientation Total</t>
  </si>
  <si>
    <t>User story writing improvement need Total</t>
  </si>
  <si>
    <t>User Story Issues Total</t>
  </si>
  <si>
    <t>Difficulties in estimating user stories Total</t>
  </si>
  <si>
    <t>Process/workflow issues around user stories Total</t>
  </si>
  <si>
    <t>Rework and delivery issues caused by user story problems Total</t>
  </si>
  <si>
    <t>UX/UI integration challenges around user stories Total</t>
  </si>
  <si>
    <t>User Story related Issues Total</t>
  </si>
  <si>
    <t>Total geral</t>
  </si>
  <si>
    <t>COUNTA of -&gt; Metodologia código final</t>
  </si>
  <si>
    <t>COUNTA of -&gt; Cerimônia Código Final</t>
  </si>
  <si>
    <t>COUNTA of -&gt; Papel Código Final</t>
  </si>
  <si>
    <t/>
  </si>
  <si>
    <t>COUNTA of -&gt; Efeito Código Final</t>
  </si>
  <si>
    <t>Breakdowns in team communication and collaboration</t>
  </si>
  <si>
    <t>Reduced autonomy and professional motivation</t>
  </si>
  <si>
    <t>Organizational Effects</t>
  </si>
  <si>
    <t>Inefficient backlog organization and management</t>
  </si>
  <si>
    <t>Process Execution Effects</t>
  </si>
  <si>
    <t>Delays and work blockages</t>
  </si>
  <si>
    <t>Workflow disruptions and delivery blockages</t>
  </si>
  <si>
    <t>Misalignment with product goals and priorities</t>
  </si>
  <si>
    <t>Reduced delivery of independent and valuable increments</t>
  </si>
  <si>
    <t>Quality Effects</t>
  </si>
  <si>
    <t>Poor task decomposition and structuring</t>
  </si>
  <si>
    <t>Reduced quality assurance and validation effectiveness</t>
  </si>
  <si>
    <t>Total Geral</t>
  </si>
  <si>
    <t>User Story Artifact Issues</t>
  </si>
  <si>
    <t>Inconsistent adherence to development practices</t>
  </si>
  <si>
    <t>Increased rework and time pressure</t>
  </si>
  <si>
    <t>User Story Process Issues</t>
  </si>
  <si>
    <t>Sprint instability and unreliable planning</t>
  </si>
  <si>
    <t>COUNTA of -&gt;Problema código final</t>
  </si>
  <si>
    <t>Solução Código Final</t>
  </si>
  <si>
    <t>--&gt; Solução meta final</t>
  </si>
  <si>
    <t>-&gt; Categoria</t>
  </si>
  <si>
    <t>8. Full story completion in one sprint is not always required.</t>
  </si>
  <si>
    <t>Accepting multi-sprint story completion when necessary</t>
  </si>
  <si>
    <t>Understanding that Agile work may span beyond a single sprint</t>
  </si>
  <si>
    <t>Process Adaptation</t>
  </si>
  <si>
    <t>3. figuring out what works best for your team, product, and environment.</t>
  </si>
  <si>
    <t>Adapting Agile practices to context</t>
  </si>
  <si>
    <t>Adapting and applying Agile/Scrum practices appropriately</t>
  </si>
  <si>
    <t>5. agile practices should be adapted to the needs and the culture</t>
  </si>
  <si>
    <t>1. scrum enabling self-directed team with no universal right way to write stories.</t>
  </si>
  <si>
    <t>Adapting Agile practices to team context</t>
  </si>
  <si>
    <t>5. splitting story based on team size, team separation, or sprint differences.</t>
  </si>
  <si>
    <t>Adapting story splitting to team and sprint context</t>
  </si>
  <si>
    <t>Work Structuring</t>
  </si>
  <si>
    <t>2. tasks must work for the team doing the work.</t>
  </si>
  <si>
    <t>Adapting work structure to team needs</t>
  </si>
  <si>
    <t>Adapting workflow for different work types</t>
  </si>
  <si>
    <t>Adapting workflow to different work types</t>
  </si>
  <si>
    <t>2. Add team members when existing capacity cannot meet quality expectations.</t>
  </si>
  <si>
    <t>Adjusting team capacity</t>
  </si>
  <si>
    <t>10. show new versions to key stakeholders as often as you can</t>
  </si>
  <si>
    <t>Adopting iterative development practices</t>
  </si>
  <si>
    <t>Continuous Learning</t>
  </si>
  <si>
    <t>1. point value determined by environmental factors and team, not time or cost.</t>
  </si>
  <si>
    <t>Adopting relative estimation instead of time/cost-based estimation</t>
  </si>
  <si>
    <t>Using relative estimation instead of time/cost-based estimation</t>
  </si>
  <si>
    <t>Effort Estimation &amp; Planning</t>
  </si>
  <si>
    <t>3. Avoid cost-based estimation for stories</t>
  </si>
  <si>
    <t xml:space="preserve"> 4. Avoid using monetary units to estimate story complexity or time.</t>
  </si>
  <si>
    <t>1. don't convert story points into money</t>
  </si>
  <si>
    <t>2. story points do not convert to time</t>
  </si>
  <si>
    <t>4. Use story points as relative estimates, not as time or cost equivalents. 5. Keep time and cost estimates separate from story point estimation.</t>
  </si>
  <si>
    <t>2. talking with PO and customers about architecture instead of just list of stories.</t>
  </si>
  <si>
    <t>Aligning architecture discussions with stakeholders</t>
  </si>
  <si>
    <t>Aligning technical and architectural decisions with actual needs</t>
  </si>
  <si>
    <t>Technical Foundations</t>
  </si>
  <si>
    <t>5. Delivery means ready to ship, not necessarily released, release is driven by business value.</t>
  </si>
  <si>
    <t>Aligning delivery with business-driven release</t>
  </si>
  <si>
    <t>Aligning delivery and release decisions with business value</t>
  </si>
  <si>
    <t>Value Orientation</t>
  </si>
  <si>
    <t xml:space="preserve">1. Use story points and velocity for team-level planning, not external forecasting </t>
  </si>
  <si>
    <t>Aligning estimation practices with Agile principles</t>
  </si>
  <si>
    <t>Improving estimation practices</t>
  </si>
  <si>
    <t>2. Story points and velocity support sprint planning, not management deadlines.</t>
  </si>
  <si>
    <t>3. Commit to Agile principles over hybrid traditional approaches</t>
  </si>
  <si>
    <t>4. Avoid mixing Agile with traditional methods; embrace empiricism and adaptability.</t>
  </si>
  <si>
    <t>10. Align requirement readiness with team collaboration before sprint planning.</t>
  </si>
  <si>
    <t>Aligning readiness through collaboration</t>
  </si>
  <si>
    <t>Collaboration &amp; Alignment</t>
  </si>
  <si>
    <t>4. Select solution complexity based on actual user needs, not assumptions</t>
  </si>
  <si>
    <t>Aligning solution complexity with actual user needs</t>
  </si>
  <si>
    <t>1. whole team and stakeholders agree on what estimating techniques measure</t>
  </si>
  <si>
    <t>Aligning stakeholders on estimation meaning and purpose</t>
  </si>
  <si>
    <t>Clarifying the purpose and interpretation of estimation</t>
  </si>
  <si>
    <t>5. user stories aligned with user needs with clear value statement.</t>
  </si>
  <si>
    <t>Aligning stories with user needs</t>
  </si>
  <si>
    <t>Ensuring user/business value in user stories</t>
  </si>
  <si>
    <t>8. think about sprint duration</t>
  </si>
  <si>
    <t>Aligning story size with sprint duration</t>
  </si>
  <si>
    <t>Aligning story size and granularity with sprint constraints</t>
  </si>
  <si>
    <t>6. goals of testing are more closely aligned to reducing technical debt</t>
  </si>
  <si>
    <t>Aligning testing with technical debt reduction</t>
  </si>
  <si>
    <t>Integrating and prioritizing testing in the workflow</t>
  </si>
  <si>
    <t>Quality Assurance</t>
  </si>
  <si>
    <t>8. budget in more time for testing</t>
  </si>
  <si>
    <t>Allocating sufficient time for testing</t>
  </si>
  <si>
    <t>7. Agile is to be flexible</t>
  </si>
  <si>
    <t>Applying Agile flexibility in UX/UI integration</t>
  </si>
  <si>
    <t>7- 7 - agile principles applied incrementally</t>
  </si>
  <si>
    <t>Applying Agile principles incrementally</t>
  </si>
  <si>
    <t>7. understand the needs of the story</t>
  </si>
  <si>
    <t>Applying consistent evaluation criteria</t>
  </si>
  <si>
    <t>13. stop when it's good enough for now</t>
  </si>
  <si>
    <t>Applying incremental delivery mindset</t>
  </si>
  <si>
    <t>Prioritizing incremental and early value delivery</t>
  </si>
  <si>
    <t>4. inspecting and adapting frequently if current way of working delivers value.</t>
  </si>
  <si>
    <t>Applying inspect-and-adapt</t>
  </si>
  <si>
    <t>Using retrospectives and inspect-and-adapt for continuous improvement</t>
  </si>
  <si>
    <t>10. Adopt a pragmatic approach.</t>
  </si>
  <si>
    <t>Applying pragmatic Agile practices</t>
  </si>
  <si>
    <t>2. not getting hung up on scrum dogma if current approach delivers better software.</t>
  </si>
  <si>
    <t xml:space="preserve">1. Quality Assurance filters out bad/unusable results. </t>
  </si>
  <si>
    <t>Applying quality assurance practices</t>
  </si>
  <si>
    <t>Applying QA and quality standards to user stories</t>
  </si>
  <si>
    <t>2. great user stories require Quality Assurance and definition of greatness.</t>
  </si>
  <si>
    <t>Applying quality standards to user stories</t>
  </si>
  <si>
    <t>3. assuring user stories meet quality standards before estimating.</t>
  </si>
  <si>
    <t>4. keep asking questions until fully understanding what customer wants.</t>
  </si>
  <si>
    <t>Asking clarifying questions until customer needs are understood</t>
  </si>
  <si>
    <t>Clarifying requirements through questioning and shared understanding</t>
  </si>
  <si>
    <t>Requirements Understanding</t>
  </si>
  <si>
    <t>2. retrospective to determine team bus factor.</t>
  </si>
  <si>
    <t>Assessing team resilience</t>
  </si>
  <si>
    <t>Improving team collaboration, ownership, and resilience</t>
  </si>
  <si>
    <t>6. one person owning story and responsible for ensuring all parts are working together.</t>
  </si>
  <si>
    <t>Assigning single ownership for integration</t>
  </si>
  <si>
    <t>4. estimating common tasks only once.</t>
  </si>
  <si>
    <t>Avoiding duplicate estimation of shared work</t>
  </si>
  <si>
    <t>1. acceptance criteria are a bit too specific on implementation details</t>
  </si>
  <si>
    <t>Avoiding implementation-specific acceptance criteria</t>
  </si>
  <si>
    <t>Defining clear, testable, and context-appropriate acceptance criteria</t>
  </si>
  <si>
    <t>8. misconception that a story should be fully designed, developed and tested in a single sprint</t>
  </si>
  <si>
    <t>Avoiding misconception of full story completion within one sprint</t>
  </si>
  <si>
    <t>11. misusing scrum by filling in mechanics for existing design work.</t>
  </si>
  <si>
    <t>Avoiding misuse of Scrum practices</t>
  </si>
  <si>
    <t xml:space="preserve">2. Use only the required functionality instead of full systems. </t>
  </si>
  <si>
    <t>Avoiding overbuilding by limiting scope</t>
  </si>
  <si>
    <t>Limiting scope and preventing overbuilding</t>
  </si>
  <si>
    <t>10. mapping is dangerous</t>
  </si>
  <si>
    <t>Avoiding overreliance on story mapping</t>
  </si>
  <si>
    <t>5. time estimations give a false feeling of safety</t>
  </si>
  <si>
    <t>Avoiding overreliance on time-based estimates</t>
  </si>
  <si>
    <t>9. losing flexibility by fixing scope for next sprint before it starts.</t>
  </si>
  <si>
    <t>Avoiding rigid scope commitments</t>
  </si>
  <si>
    <t>1. don't break down the item</t>
  </si>
  <si>
    <t>Avoiding unnecessary decomposition</t>
  </si>
  <si>
    <t>Decomposing work into appropriately sized pieces</t>
  </si>
  <si>
    <t>3. Avoid unnecessary databases by using simpler storage solutions when sufficient</t>
  </si>
  <si>
    <t>Avoiding unnecessary technical complexity</t>
  </si>
  <si>
    <t>3. Do not use a database when simpler alternatives suffice</t>
  </si>
  <si>
    <t>5. Avoid unnecessary complexity by implementing only required permissions.</t>
  </si>
  <si>
    <t>6. Pipelining UX and development creates dependencies, waste, and reduces collaboration and value delivery.</t>
  </si>
  <si>
    <t>Avoiding UX-development pipelining</t>
  </si>
  <si>
    <t>Avoiding UX/UI bottlenecks, waste, and pipelining</t>
  </si>
  <si>
    <t>Design–Development Alignment</t>
  </si>
  <si>
    <t>3. designer doesn't become a bottleneck</t>
  </si>
  <si>
    <t>Avoiding UX/UI bottlenecks</t>
  </si>
  <si>
    <t>4. focusing on development effort rather than analysis, UI design, and testing.</t>
  </si>
  <si>
    <t>Balancing development with analysis, design, and testing</t>
  </si>
  <si>
    <t>2 - break down user stories into tasks</t>
  </si>
  <si>
    <t>Breaking down user stories into tasks</t>
  </si>
  <si>
    <t>Structuring user stories into clear tasks and subtasks</t>
  </si>
  <si>
    <t>4. breaking use-case into smaller end-to-end features for quicker feedback.</t>
  </si>
  <si>
    <t>Breaking use cases into smaller end-to-end features</t>
  </si>
  <si>
    <t>Using vertical/end-to-end slicing</t>
  </si>
  <si>
    <t>9. Break down work into independent, enabling increments.</t>
  </si>
  <si>
    <t>Breaking work into independent enabling increments</t>
  </si>
  <si>
    <t>1. value not measured only in lines of shippable code.</t>
  </si>
  <si>
    <t>Broadening definition of value</t>
  </si>
  <si>
    <t>Broadening the definition of value</t>
  </si>
  <si>
    <t>1 - user story is not the same as a requirement</t>
  </si>
  <si>
    <t>Clarifying distinction between user stories and requirements</t>
  </si>
  <si>
    <t>Clarifying user story concepts and abstraction levels</t>
  </si>
  <si>
    <t>1. Different purposes explain the poor correlation.</t>
  </si>
  <si>
    <t>Clarifying estimation purpose and interpretation</t>
  </si>
  <si>
    <t>1. fill in those blanks as early as possible</t>
  </si>
  <si>
    <t>Clarifying requirements early</t>
  </si>
  <si>
    <t>2. Clarify requirements through questioning and rapid prototyping</t>
  </si>
  <si>
    <t>Clarifying requirements through questioning and prototyping</t>
  </si>
  <si>
    <t>1. distinguishing between slicing by individual vs team responsibilities.</t>
  </si>
  <si>
    <t>Clarifying slicing strategy and team responsibilities</t>
  </si>
  <si>
    <t>9. Clarify vague stories by explicitly stating the user benefit.</t>
  </si>
  <si>
    <t>Clarifying user value in stories</t>
  </si>
  <si>
    <t>1. front-end and back-end as a single story.</t>
  </si>
  <si>
    <t>Combining front-end and back-end into end-to-end stories</t>
  </si>
  <si>
    <t>3. estimate how long it would take to do that particular chunk of work</t>
  </si>
  <si>
    <t>Considering task-level time estimation alongside story-level estimation</t>
  </si>
  <si>
    <t>Using time-based estimation when appropriate</t>
  </si>
  <si>
    <t>2. 2: Assigning tasks based on the developer's skill level.</t>
  </si>
  <si>
    <t>Considering team skills in task assignment and estimation</t>
  </si>
  <si>
    <t>Assigning tasks based on developer/team skills</t>
  </si>
  <si>
    <t>7. inspecting and adapting frequently while addressing dysfunctions.</t>
  </si>
  <si>
    <t>Continuous improvement practices</t>
  </si>
  <si>
    <t>7. convert big story to an epic</t>
  </si>
  <si>
    <t>Converting large stories into epics</t>
  </si>
  <si>
    <t>11. Story is too big, you may also convert it to an Epic and add Stories to them.</t>
  </si>
  <si>
    <t>2. stand alone story for the person who needs to look at the audit data</t>
  </si>
  <si>
    <t>Creating standalone value-driven stories</t>
  </si>
  <si>
    <t>Ensuring independent value and releasability of stories</t>
  </si>
  <si>
    <t>6. apply the same measures you use when developing the code</t>
  </si>
  <si>
    <t>Decomposing large stories into smaller units</t>
  </si>
  <si>
    <t>Decomposing large user stories into smaller stories</t>
  </si>
  <si>
    <t>3. split large work items into finer details</t>
  </si>
  <si>
    <t>Decomposing large work items into finer-grained items</t>
  </si>
  <si>
    <t>3. keep the stories as small as possible</t>
  </si>
  <si>
    <t>Decomposing user stories into smaller units</t>
  </si>
  <si>
    <t>6. splitting epics into smaller stories for better estimation.</t>
  </si>
  <si>
    <t>1. breaking large user story into smaller stories delivering minimum value quickly.</t>
  </si>
  <si>
    <t>2. breaking down stories with 8 or more points into smaller stories.</t>
  </si>
  <si>
    <t>14. break it down into smaller pieces</t>
  </si>
  <si>
    <t>Decomposing UX/UI work into smaller pieces</t>
  </si>
  <si>
    <t>Integrating UX/UI work with user stories and development</t>
  </si>
  <si>
    <t>12. split your work into parts and implement in iterations</t>
  </si>
  <si>
    <t>Decomposing work and iterating incrementally</t>
  </si>
  <si>
    <t>1. Iterative approach prioritizes high-value rework and enables faster delivery and feedback</t>
  </si>
  <si>
    <t>Decomposing work into smaller pieces</t>
  </si>
  <si>
    <t>2. break down the item into smaller pieces</t>
  </si>
  <si>
    <t>6. estimating time only after accepting story into sprint..</t>
  </si>
  <si>
    <t>Deferring estimation until readiness</t>
  </si>
  <si>
    <t>6. delay creating the database as long as possible</t>
  </si>
  <si>
    <t>Deferring technical decisions until necessary</t>
  </si>
  <si>
    <t>3. defining clear exit criteria for user stories.</t>
  </si>
  <si>
    <t>Defining clear acceptance criteria</t>
  </si>
  <si>
    <t>9. never calling story done until team agrees including testing.</t>
  </si>
  <si>
    <t>Defining completion through team agreement and testing</t>
  </si>
  <si>
    <t>Using Definition of Done to guide validation and completion</t>
  </si>
  <si>
    <t>2. capture general rules that apply no matter the device</t>
  </si>
  <si>
    <t>Defining device-independent acceptance criteria</t>
  </si>
  <si>
    <t>10. clear definition of DONE with decoupled presentation layer</t>
  </si>
  <si>
    <t>Defining DoD with decoupled presentation layer</t>
  </si>
  <si>
    <t>8. writing high-level project goals beforehand.</t>
  </si>
  <si>
    <t>Defining high-level goals upfront</t>
  </si>
  <si>
    <t>Defining high-level goals before deriving user stories</t>
  </si>
  <si>
    <t>10. defining what is "ready" for sprint planning</t>
  </si>
  <si>
    <t>Defining readiness criteria for UX/UI work</t>
  </si>
  <si>
    <t>3. application needs to be responsive</t>
  </si>
  <si>
    <t>Defining responsive behavior in acceptance criteria</t>
  </si>
  <si>
    <t xml:space="preserve">1. Avoid overbuilding by delivering only what is needed through vertical slices. </t>
  </si>
  <si>
    <t>Delivering only necessary functionality through vertical slices</t>
  </si>
  <si>
    <t>2. delivering small vertical slices of end-user value across architecture layers.</t>
  </si>
  <si>
    <t>Delivering vertical slices of value</t>
  </si>
  <si>
    <t>2. issue tracking and task tracking as distinct activities.</t>
  </si>
  <si>
    <t>Distinguishing issue tracking from task tracking</t>
  </si>
  <si>
    <t>Maintaining traceability between stories, tasks, and issues</t>
  </si>
  <si>
    <t>6. story is NOT the task</t>
  </si>
  <si>
    <t>Distinguishing user stories from tasks</t>
  </si>
  <si>
    <t>3. non functional requirement/DoD on any other stories</t>
  </si>
  <si>
    <t>Embedding non-functional requirements in DoD</t>
  </si>
  <si>
    <t>5. full-stack developers enabling story execution by one person without pipelining.</t>
  </si>
  <si>
    <t>Enabling vertical slicing through full-stack skills</t>
  </si>
  <si>
    <t>2. full-stack developers as most efficient way to work vertically with pair programming across layers.</t>
  </si>
  <si>
    <t>Enabling vertical slicing through full-stack skills and pair programming</t>
  </si>
  <si>
    <t>13. devs to ask questions about parts of the design</t>
  </si>
  <si>
    <t>Encouraging developer clarification of design</t>
  </si>
  <si>
    <t>9. developers also need to ask questions</t>
  </si>
  <si>
    <t>Encouraging developers to ask clarifying questions</t>
  </si>
  <si>
    <t>10. Developers must ask clarifying questions to understand requirements before implementation.</t>
  </si>
  <si>
    <t>2. all stories must be estimated.</t>
  </si>
  <si>
    <t>Enforcing consistent estimation practices</t>
  </si>
  <si>
    <t>3. scrum team must have all skills needed to create potentially releasable product.</t>
  </si>
  <si>
    <t>Ensuring cross-functional team skills</t>
  </si>
  <si>
    <t>1. each story should be valuable independently</t>
  </si>
  <si>
    <t>Ensuring independent value per story</t>
  </si>
  <si>
    <t>3. having a good description of the tasks</t>
  </si>
  <si>
    <t>Ensuring task clarity</t>
  </si>
  <si>
    <t>12. checking if user story leads to meaningful and testable requirements.</t>
  </si>
  <si>
    <t>Ensuring user stories are testable and meaningful</t>
  </si>
  <si>
    <t>11. Stop writing value-less goals.</t>
  </si>
  <si>
    <t>Ensuring user stories provide value</t>
  </si>
  <si>
    <t>10. UX stories providing value to development team rather than final user.</t>
  </si>
  <si>
    <t>Ensuring UX stories deliver end-user value</t>
  </si>
  <si>
    <t>2. no invisible work - all non-feature stories managed from Product Backlog.</t>
  </si>
  <si>
    <t>Ensuring visibility of all work items</t>
  </si>
  <si>
    <t>Making all work visible in the product backlog</t>
  </si>
  <si>
    <t>3. working through project manager to get in meetings with customer to discuss requirements.</t>
  </si>
  <si>
    <t>Facilitating customer access through project management</t>
  </si>
  <si>
    <t>Increasing stakeholder/customer involvement and feedback</t>
  </si>
  <si>
    <t>3. lean towards breaking it down</t>
  </si>
  <si>
    <t>Favoring decomposition</t>
  </si>
  <si>
    <t>3. estimates only need to be consistent over time, not necessarily accurate.</t>
  </si>
  <si>
    <t>Focusing on consistency over accuracy in estimation</t>
  </si>
  <si>
    <t>5. Prioritize customer-relevant details or avoid unnecessary technical specifics.</t>
  </si>
  <si>
    <t>Focusing on user-relevant details</t>
  </si>
  <si>
    <t>Keeping user stories focused on user-relevant needs and rationale</t>
  </si>
  <si>
    <t>7. Keep stories focused on business/user value, not development tasks.</t>
  </si>
  <si>
    <t>Focusing stories on business/user value</t>
  </si>
  <si>
    <t>4 - avoid shortcuts through the process</t>
  </si>
  <si>
    <t>Following disciplined Agile process</t>
  </si>
  <si>
    <t>6. tolerating pipelining initially while building trust through pair programming across layers.</t>
  </si>
  <si>
    <t>Gradually transitioning toward vertical slicing through trust-building practices</t>
  </si>
  <si>
    <t>3. backlog items should be close-ended</t>
  </si>
  <si>
    <t>Improving backlog structuring practices</t>
  </si>
  <si>
    <t>Structuring and refining the product backlog</t>
  </si>
  <si>
    <t>4. Prioritize early value delivery over complete or perfect solutions</t>
  </si>
  <si>
    <t>9. better communication and training for reasonable deadlines.</t>
  </si>
  <si>
    <t>Improving communication and training</t>
  </si>
  <si>
    <t>Promoting communication among team members and stakeholders</t>
  </si>
  <si>
    <t>10. sprint planning meetings on video for better communication.</t>
  </si>
  <si>
    <t>Improving communication in distributed teams</t>
  </si>
  <si>
    <t>1. Dev and testing overlap challenges story completion within a sprint.</t>
  </si>
  <si>
    <t>Improving coordination between development and testing</t>
  </si>
  <si>
    <t>1. increasing estimate accuracy with PO participation, training, documentation, and spikes.</t>
  </si>
  <si>
    <t>Improving domain knowledge through stakeholder involvement, training, and exploratory work</t>
  </si>
  <si>
    <t>1. improve your estimations to take that into account</t>
  </si>
  <si>
    <t>3. estimates as accurate as possible within sprint planning time-box.</t>
  </si>
  <si>
    <t>Improving estimation practices within Agile constraints</t>
  </si>
  <si>
    <t>1. demonstrating value of sharing user stories by simulating team member removal.</t>
  </si>
  <si>
    <t>Improving knowledge sharing</t>
  </si>
  <si>
    <t>8. focus on the minimum viable</t>
  </si>
  <si>
    <t>Improving requirement understanding</t>
  </si>
  <si>
    <t>15. practicing requirement engineering to improve over time.</t>
  </si>
  <si>
    <t>Improving requirements engineering practices</t>
  </si>
  <si>
    <t>7. Train PMs that vague stories lead to higher estimates and rework.</t>
  </si>
  <si>
    <t>Improving stakeholder awareness and training</t>
  </si>
  <si>
    <t>Training stakeholders about user story quality and impact</t>
  </si>
  <si>
    <t>8. good client services department knowing product and client.</t>
  </si>
  <si>
    <t>Improving stakeholder/domain knowledge</t>
  </si>
  <si>
    <t>Improving domain knowledge through training and expert involvement</t>
  </si>
  <si>
    <t>5 5 - improve understanding of differences between requirements and user stories</t>
  </si>
  <si>
    <t>Improving understanding of Agile concepts</t>
  </si>
  <si>
    <t>11. stories with clear list of testable acceptance criteria.</t>
  </si>
  <si>
    <t>Improving user story quality through clear and testable acceptance criteria</t>
  </si>
  <si>
    <t>4. bad user stories can be reworked to improve quality.</t>
  </si>
  <si>
    <t>Improving user story quality through refinement</t>
  </si>
  <si>
    <t>2. Well-specified stories enable developers to complete and validate work independently.</t>
  </si>
  <si>
    <t>Improving user story quality to support estimation</t>
  </si>
  <si>
    <t>3. design is part of definition of ready.</t>
  </si>
  <si>
    <t>Including design in Definition of Ready</t>
  </si>
  <si>
    <t>3. including QA-assigned tasks in the same story.</t>
  </si>
  <si>
    <t>Including QA tasks within the same story</t>
  </si>
  <si>
    <t>11. Consider the UX/UI designer as part of the SCRUM team</t>
  </si>
  <si>
    <t>Including UX/UI designers in Scrum team</t>
  </si>
  <si>
    <t>Defining UX/UI role within or outside the Scrum team</t>
  </si>
  <si>
    <t>4. estimates should include uncertainty.</t>
  </si>
  <si>
    <t>Incorporating uncertainty into estimation</t>
  </si>
  <si>
    <t>Managing estimation uncertainty through decomposition and exploratory work</t>
  </si>
  <si>
    <t>1. talking directly to customers and end users.</t>
  </si>
  <si>
    <t>Increasing direct customer and end-user communication</t>
  </si>
  <si>
    <t>4. get user feedback even more early</t>
  </si>
  <si>
    <t>Increasing early stakeholder feedback</t>
  </si>
  <si>
    <t>4. minimizing lag time between development and client feedback through communication and training.</t>
  </si>
  <si>
    <t>11. collect feedback early and often</t>
  </si>
  <si>
    <t>Increasing stakeholder feedback frequency</t>
  </si>
  <si>
    <t>3. work on getting your customer more involved</t>
  </si>
  <si>
    <t>Increasing stakeholder involvement</t>
  </si>
  <si>
    <t>8 8. do not eat the entire elephant in one bite</t>
  </si>
  <si>
    <t>Incremental delivery mindset</t>
  </si>
  <si>
    <t>9. Break down large features into incremental, deliverable pieces.</t>
  </si>
  <si>
    <t>Incremental feature decomposition</t>
  </si>
  <si>
    <t>1. design work done in sprint.</t>
  </si>
  <si>
    <t>Integrating design work within sprint</t>
  </si>
  <si>
    <t>Managing UX/UI work within or across sprints</t>
  </si>
  <si>
    <t>1. QA must be complete to call a user story done</t>
  </si>
  <si>
    <t>Integrating QA into Definition of Done</t>
  </si>
  <si>
    <t>2. 2. QA must be part of DoD to mark stories as done.</t>
  </si>
  <si>
    <t>3. bring in QA within your sprint and not as a separate stage</t>
  </si>
  <si>
    <t>Integrating QA within sprint workflow</t>
  </si>
  <si>
    <t>5. UX/BA tasks are part of the sprint</t>
  </si>
  <si>
    <t>Integrating UX/BA tasks within sprint</t>
  </si>
  <si>
    <t>2. getting involved earlier in the process after sales and with BAs.</t>
  </si>
  <si>
    <t>Involving developers earlier in the requirements process</t>
  </si>
  <si>
    <t>9. SME participating in sprint planning to validate implementation approach.</t>
  </si>
  <si>
    <t>Involving domain experts (SMEs) in planning and decision-making</t>
  </si>
  <si>
    <t>1. keeping dependent stories separate and delivering potentially shippable product.</t>
  </si>
  <si>
    <t>Keeping stories independent for delivery</t>
  </si>
  <si>
    <t>6 6 - learning from sprints and retrospectives</t>
  </si>
  <si>
    <t>Learning through iterative cycles</t>
  </si>
  <si>
    <t>3. Leverage diverse team skills by involving multiple members in each story</t>
  </si>
  <si>
    <t>Leveraging cross-functional collaboration</t>
  </si>
  <si>
    <t>13. Unplanned backlog more than 12 to 18 months in advance.</t>
  </si>
  <si>
    <t>Limiting long-term backlog planning</t>
  </si>
  <si>
    <t>7. keep it limited in scope</t>
  </si>
  <si>
    <t>Limiting user story scope</t>
  </si>
  <si>
    <t>8. user stories should not have a whole lot of detail</t>
  </si>
  <si>
    <t>Maintaining appropriate level of abstraction in user stories</t>
  </si>
  <si>
    <t>Maintaining appropriate abstraction levels</t>
  </si>
  <si>
    <t>3 - user stories focused on what and why, not how</t>
  </si>
  <si>
    <t>Maintaining focus on what and why in user stories</t>
  </si>
  <si>
    <t>6. keeping things easy to change for lightweight pre-sprint analysis.</t>
  </si>
  <si>
    <t>Maintaining lightweight and adaptable analysis</t>
  </si>
  <si>
    <t>4. keeping stories separate.</t>
  </si>
  <si>
    <t>Maintaining story independence</t>
  </si>
  <si>
    <t>1. maintaining relationship between task and parent user story to convey value to customer.</t>
  </si>
  <si>
    <t>Maintaining traceability between tasks and parent user stories</t>
  </si>
  <si>
    <t>13. treat user stories as abstract user requirements</t>
  </si>
  <si>
    <t>Maintaining user stories as high-level requirements</t>
  </si>
  <si>
    <t>1. all work including bugs, training, and research managed from Product Backlog to avoid hidden costs.</t>
  </si>
  <si>
    <t>Managing all work through product backlog</t>
  </si>
  <si>
    <t>3. adding dependency points to first story and noting order of dependent stories.</t>
  </si>
  <si>
    <t>Managing dependencies explicitly</t>
  </si>
  <si>
    <t>10. Manage dependencies by linking backlog items to improve planning and scheduling</t>
  </si>
  <si>
    <t>Managing dependencies through backlog linking</t>
  </si>
  <si>
    <t>5. testable user stories with agreed success criteria.</t>
  </si>
  <si>
    <t>Managing estimation uncertainty through decomposition and adaptation</t>
  </si>
  <si>
    <t xml:space="preserve">1. Manage estimation uncertainty by removing outliers, decomposing disputed tasks, and adapting backlog dynamically </t>
  </si>
  <si>
    <t>2. Break down high-point stories to identify uncertainties and add research spikes</t>
  </si>
  <si>
    <t>5. scheduling research story to build proof-of-concept before estimating.</t>
  </si>
  <si>
    <t>Managing estimation uncertainty through exploratory work</t>
  </si>
  <si>
    <t>8. developing in isolation while logging technical debt and paying it back in hardening sprint.</t>
  </si>
  <si>
    <t>Managing technical debt during isolated development</t>
  </si>
  <si>
    <t>Managing technical debt explicitly</t>
  </si>
  <si>
    <t>12. Consider the UX/UI designer as external to the SCRUM team</t>
  </si>
  <si>
    <t>Managing UX/UI roles external to Scrum team when needed</t>
  </si>
  <si>
    <t>1. doing UI design, coding, and testing in same sprint or splitting across sprints.</t>
  </si>
  <si>
    <t>Managing UX/UI work across or within sprints</t>
  </si>
  <si>
    <t>1. Focus on backlog refinement and limiting WIP to avoid team overload</t>
  </si>
  <si>
    <t>Managing WIP and backlog refinement</t>
  </si>
  <si>
    <t>Managing flow and limiting WIP</t>
  </si>
  <si>
    <t>1. Maintain progress by switching to unblocked work</t>
  </si>
  <si>
    <t>Managing workflow around blockers</t>
  </si>
  <si>
    <t>4. try to avoid waste</t>
  </si>
  <si>
    <t>Minimizing waste in UX/UI processes</t>
  </si>
  <si>
    <t>7. continuous release planning and periodic backlog reviews.</t>
  </si>
  <si>
    <t>Performing continuous backlog refinement</t>
  </si>
  <si>
    <t>1. planning at task/story level instead of epic level to balance work and transition between epics.</t>
  </si>
  <si>
    <t>Planning at appropriate granularity level</t>
  </si>
  <si>
    <t>6. job of UX is to prepare those tasks for developers</t>
  </si>
  <si>
    <t>Preparing UX deliverables for development</t>
  </si>
  <si>
    <t>5. Do not introduce features beyond the scope of the user story</t>
  </si>
  <si>
    <t>Preventing scope creep in user stories</t>
  </si>
  <si>
    <t>9. make testing the focus</t>
  </si>
  <si>
    <t>Prioritizing testing activities</t>
  </si>
  <si>
    <t>2. not everything in the backlog has to be a User Story</t>
  </si>
  <si>
    <t>Prioritizing value-driven delivery</t>
  </si>
  <si>
    <t>5. story too big to fit into a single iteration</t>
  </si>
  <si>
    <t>9. iterate rapidly</t>
  </si>
  <si>
    <t>7. good user stories are collaboratively written</t>
  </si>
  <si>
    <t>Promoting collaborative user story writing</t>
  </si>
  <si>
    <t>Promoting collaborative user story writing and communication</t>
  </si>
  <si>
    <t>5. direct and honest communication between development team and stakeholders.</t>
  </si>
  <si>
    <t>Promoting direct and honest stakeholder communication</t>
  </si>
  <si>
    <t>7. testing is not a necessary evil</t>
  </si>
  <si>
    <t>Promoting positive testing mindset</t>
  </si>
  <si>
    <t>6. discuss your concerns with your fellow developers</t>
  </si>
  <si>
    <t>Promoting team communication and collaboration</t>
  </si>
  <si>
    <t>7. SME traveling to train entire team hands-on.</t>
  </si>
  <si>
    <t>Providing hands-on training with domain experts (SMEs)</t>
  </si>
  <si>
    <t>8. key team members traveling for hands-on training with SMEs.</t>
  </si>
  <si>
    <t>8. taking a step back and reassessing.</t>
  </si>
  <si>
    <t>Reassessing process and priorities</t>
  </si>
  <si>
    <t>8. reassigning story ownership as each person finishes their part.</t>
  </si>
  <si>
    <t>Reassigning ownership across workflow stages</t>
  </si>
  <si>
    <t>5. testing as an expected and necessary cost of doing business</t>
  </si>
  <si>
    <t>Recognizing testing as essential</t>
  </si>
  <si>
    <t>7. avoiding lengthy design discussions before implementing each story.</t>
  </si>
  <si>
    <t>Reducing upfront design overhead</t>
  </si>
  <si>
    <t>3. independent stories can be released separately based on business value.</t>
  </si>
  <si>
    <t>Releasing stories independently based on value</t>
  </si>
  <si>
    <t>4. understanding context before seeking clarification from business analyst.</t>
  </si>
  <si>
    <t>Representing negative scenarios as user stories or acceptance tests</t>
  </si>
  <si>
    <t>2. Treat negative acceptance tests as user stories.</t>
  </si>
  <si>
    <t>11. Do not estimate stories until critical ambiguities are resolved</t>
  </si>
  <si>
    <t>Resolving ambiguities before estimation</t>
  </si>
  <si>
    <t>11. Raise questions when requirements are incomplete before providing estimates.</t>
  </si>
  <si>
    <t>9. respect the time box</t>
  </si>
  <si>
    <t>Respecting timeboxes</t>
  </si>
  <si>
    <t>Using and respecting timeboxes</t>
  </si>
  <si>
    <t>3. hiring more people gives you a chance to improve your processes</t>
  </si>
  <si>
    <t>Scaling team capacity</t>
  </si>
  <si>
    <t>4. get your team to production size</t>
  </si>
  <si>
    <t>2. design as separate stories.</t>
  </si>
  <si>
    <t>Separating design work into distinct stories</t>
  </si>
  <si>
    <t>5. Dollars are suitable for estimating business value, not estimating effort.</t>
  </si>
  <si>
    <t>Separating effort estimation from business value and cost estimation</t>
  </si>
  <si>
    <t>7. product owner and stakeholders calculating in dollars/money.</t>
  </si>
  <si>
    <t>5. Keep time and cost estimates separate from story point estimation.</t>
  </si>
  <si>
    <t>1. biggest value to the user in the shortest time</t>
  </si>
  <si>
    <t>1. split that epic into stories and work on those stories</t>
  </si>
  <si>
    <t>Splitting epics into smaller user stories</t>
  </si>
  <si>
    <t>2. find out how many story points an epic has is by splitting it into stories</t>
  </si>
  <si>
    <t>9. breaking UI/graphics into two stories: functionality first, design later.</t>
  </si>
  <si>
    <t>Splitting functionality and design into separate stories</t>
  </si>
  <si>
    <t>2. dividing story into tasks owned by different developers.</t>
  </si>
  <si>
    <t>Splitting stories into developer-owned tasks</t>
  </si>
  <si>
    <t>7. dividing user stories into tasks among team members.</t>
  </si>
  <si>
    <t>Splitting stories into team-member tasks</t>
  </si>
  <si>
    <t>6. splitting stories into small vertical slices.</t>
  </si>
  <si>
    <t>Splitting stories into vertical slices</t>
  </si>
  <si>
    <t>8. start with simple architectures</t>
  </si>
  <si>
    <t>Starting with simple architectures</t>
  </si>
  <si>
    <t>10. arranging stories hierarchically by functional areas.</t>
  </si>
  <si>
    <t>Structuring backlog hierarchically</t>
  </si>
  <si>
    <t>4. group stories beneath an Epic</t>
  </si>
  <si>
    <t>1. splitting tasks into common once, common repeated, and specific for estimation.</t>
  </si>
  <si>
    <t>Structuring tasks for estimation clarity</t>
  </si>
  <si>
    <t>14. .splitting development group into separate agile teams by functional areas.</t>
  </si>
  <si>
    <t>Structuring teams by functional areas</t>
  </si>
  <si>
    <t>14. broken down into tasks and sub tasks</t>
  </si>
  <si>
    <t>Structuring work into tasks and subtasks</t>
  </si>
  <si>
    <t>15. childing tasks represent the real work</t>
  </si>
  <si>
    <t xml:space="preserve"> 16. Break user stories into small tasks that reflect the actual implementation work</t>
  </si>
  <si>
    <t>16. Create granular child tasks that clearly describe the work required.</t>
  </si>
  <si>
    <t>4. collective code ownership and pair programming to support vertical user stories.</t>
  </si>
  <si>
    <t>Supporting vertical stories through collective ownership and pair programming</t>
  </si>
  <si>
    <t>3. reformulating additional work items as user stories for Product Backlog insertion.</t>
  </si>
  <si>
    <t>Transforming work into backlog items</t>
  </si>
  <si>
    <t>1. Agile is not restricted to sprint-only planning or execution</t>
  </si>
  <si>
    <t>Understanding Agile beyond sprint boundaries</t>
  </si>
  <si>
    <t>1. misunderstanding that the current iteration is the only place things happen</t>
  </si>
  <si>
    <t>Understanding Agile work spans beyond a single iteration</t>
  </si>
  <si>
    <t>1. use job stories instead</t>
  </si>
  <si>
    <t>Using alternative story formats</t>
  </si>
  <si>
    <t>5. Define larger chunks (i.e. epic stories) story blocks instead of low-level stories from the start.</t>
  </si>
  <si>
    <t>Using appropriate abstraction levels in backlog</t>
  </si>
  <si>
    <t>3. Use planning poker to increase transparency, reduce uncertainty, and expose risks to stakeholders.</t>
  </si>
  <si>
    <t>Using collaborative estimation techniques</t>
  </si>
  <si>
    <t>4. discussing outlier estimates until reasonable compromise is reached.</t>
  </si>
  <si>
    <t>3. secondary structures helping mitigate drawbacks of vertical or horizontal slicing.</t>
  </si>
  <si>
    <t>Using complementary structures to mitigate slicing drawbacks</t>
  </si>
  <si>
    <t>14. Use cross-domain analogies to overcome creative or technical blocks</t>
  </si>
  <si>
    <t>Using creative problem-solving techniques</t>
  </si>
  <si>
    <t xml:space="preserve">2. Track and categorize work to generate data for better planning and forecasting </t>
  </si>
  <si>
    <t>Using data-driven planning</t>
  </si>
  <si>
    <t>Using data and tracking for planning and process improvement</t>
  </si>
  <si>
    <t>6. choosing a pet feature to demonstrate success and gain leverage for future discussions.</t>
  </si>
  <si>
    <t>Using demonstrator features to support stakeholder negotiation</t>
  </si>
  <si>
    <t>Using supporting artifacts to clarify and derive user stories</t>
  </si>
  <si>
    <t>2. Use detailed task logging to understand effort distribution and improve team pacing.</t>
  </si>
  <si>
    <t>Using detailed tracking for process improvement</t>
  </si>
  <si>
    <t>2. measure time directly</t>
  </si>
  <si>
    <t>Using direct time measurement when appropriate</t>
  </si>
  <si>
    <t>12. measure, collect data</t>
  </si>
  <si>
    <t>Using empirical data to guide decisions</t>
  </si>
  <si>
    <t>10. help of an experienced Technical Project Manager to help explain how to shrink the stories</t>
  </si>
  <si>
    <t>Using experienced leadership for guidance</t>
  </si>
  <si>
    <t>Using experienced leadership to guide process and decomposition</t>
  </si>
  <si>
    <t>5. using spikes to reduce uncertainty.</t>
  </si>
  <si>
    <t>Using exploratory work (spikes) to reduce uncertainty</t>
  </si>
  <si>
    <t xml:space="preserve">1. Prefer flow-based approaches (e.g., Kanban) over fixed sprints when appropriate. </t>
  </si>
  <si>
    <t>Using flow-based approaches when suitable</t>
  </si>
  <si>
    <t xml:space="preserve">2. Leverage past stories as reference points for new estimates. </t>
  </si>
  <si>
    <t>Using historical reference stories for estimation</t>
  </si>
  <si>
    <t>3. creating GitHub milestones for features/user stories with associated issues for tasks.</t>
  </si>
  <si>
    <t>Using milestones and issues to structure features and tasks</t>
  </si>
  <si>
    <t>1. writing user stories for reliability, security, and capacity.</t>
  </si>
  <si>
    <t>Using modeling techniques to analyze dependencies</t>
  </si>
  <si>
    <t>9. pair programming to build confidence across team members.</t>
  </si>
  <si>
    <t>Using pair programming to build cross-functional confidence</t>
  </si>
  <si>
    <t>Supporting vertical work through full-stack skills, pair programming, and collective ownership</t>
  </si>
  <si>
    <t>7. using patterns to slice large user stories into smaller vertical slices.</t>
  </si>
  <si>
    <t>Using patterns for vertical slicing</t>
  </si>
  <si>
    <t>2. using activity diagrams and PERT diagrams to analyze feature dependencies.</t>
  </si>
  <si>
    <t>Using project narratives or charters to derive user stories</t>
  </si>
  <si>
    <t>4. relative sizing of items</t>
  </si>
  <si>
    <t>Using relative sizing for estimation</t>
  </si>
  <si>
    <t>5. put them in buckets of relative size</t>
  </si>
  <si>
    <t>4. Use short cycles of practice and retrospectives to learn and refine the process.</t>
  </si>
  <si>
    <t>Using retrospectives for continuous improvement</t>
  </si>
  <si>
    <t>6. using 5-Whys technique to define root cause for estimation scheme.</t>
  </si>
  <si>
    <t>Using root cause analysis to improve estimation practices</t>
  </si>
  <si>
    <t>2. design/UI stories in one sprint and coding in the next.</t>
  </si>
  <si>
    <t>Using split-sprint UX/UI and development approach</t>
  </si>
  <si>
    <t>5. analysts and designers working a sprint ahead of developers.</t>
  </si>
  <si>
    <t>Using staggered design-development workflow</t>
  </si>
  <si>
    <t>2. designer should work ahead of the developers</t>
  </si>
  <si>
    <t>Using staggered UX/UI and development workflow</t>
  </si>
  <si>
    <t>8. have clear coding and design standards, with weekly backlog grooming.</t>
  </si>
  <si>
    <t>Using standards and backlog grooming</t>
  </si>
  <si>
    <t>3. narrative/project charter as starting place for identifying user stories.</t>
  </si>
  <si>
    <t>Using steel threads to clarify user story requirements</t>
  </si>
  <si>
    <t>1. steel thread concept for specific user story requirements.</t>
  </si>
  <si>
    <t>4. story points are an intermediate value to estimate capacity</t>
  </si>
  <si>
    <t>Using story points for capacity estimation</t>
  </si>
  <si>
    <t>Using story points and velocity for team planning</t>
  </si>
  <si>
    <t>2. shouldn't expect to understand everything from the summary</t>
  </si>
  <si>
    <t>Using summaries as guidance rather than full specification</t>
  </si>
  <si>
    <t>3. see summaries as pointers</t>
  </si>
  <si>
    <t>3. standup-to-standup timebox is a process control</t>
  </si>
  <si>
    <t>Using timeboxes as process control mechanisms</t>
  </si>
  <si>
    <t>6. creating training stories.</t>
  </si>
  <si>
    <t>Using training activities to improve domain knowledge</t>
  </si>
  <si>
    <t>9. mock-up or visual of some sort is essential</t>
  </si>
  <si>
    <t>Using visual artifacts to support development</t>
  </si>
  <si>
    <t>COUNTUNIQUE de --&gt; Solução meta final</t>
  </si>
  <si>
    <t>COUNTA de --&gt; Solução meta final</t>
  </si>
  <si>
    <t>Process Adaptation Total</t>
  </si>
  <si>
    <t>Work Structuring Total</t>
  </si>
  <si>
    <t>Effort Estimation &amp; Planning Total</t>
  </si>
  <si>
    <t>Requirements Understanding Total</t>
  </si>
  <si>
    <t>Quality Assurance Total</t>
  </si>
  <si>
    <t>Collaboration &amp; Alignment Total</t>
  </si>
  <si>
    <t>Value Orientation Total</t>
  </si>
  <si>
    <t>Design–Development Alignment Total</t>
  </si>
  <si>
    <t>Continuous Learning Total</t>
  </si>
  <si>
    <t>Technical Foundations Total</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</si>
</sst>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color theme="1"/>
      <name val="Arial"/>
    </font>
    <font>
      <color theme="1"/>
      <name val="Arial"/>
    </font>
    <font>
      <u/>
      <color rgb="FF1155CC"/>
      <name val="Arial"/>
    </font>
    <font>
      <u/>
      <sz val="10.0"/>
      <color rgb="FF0000FF"/>
      <name val="Arial"/>
    </font>
    <font>
      <u/>
      <color rgb="FF1155CC"/>
      <name val="Arial"/>
    </font>
    <font>
      <u/>
      <color rgb="FF1155CC"/>
      <name val="Arial"/>
    </font>
    <font>
      <b/>
      <sz val="10.0"/>
      <color theme="1"/>
      <name val="Arial"/>
    </font>
    <font>
      <sz val="10.0"/>
      <color theme="1"/>
      <name val="Arial"/>
    </font>
    <font>
      <sz val="10.0"/>
      <color rgb="FF000000"/>
      <name val="Arial"/>
    </font>
    <font>
      <u/>
      <sz val="10.0"/>
      <color rgb="FF0000FF"/>
      <name val="Arial"/>
    </font>
    <font>
      <u/>
      <sz val="10.0"/>
      <color rgb="FF0000FF"/>
      <name val="Arial"/>
    </font>
    <font>
      <u/>
      <sz val="10.0"/>
      <color rgb="FF0C0D0E"/>
      <name val="-apple-system"/>
    </font>
    <font>
      <sz val="11.0"/>
      <color theme="1"/>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color theme="1"/>
      <name val="Arial"/>
      <scheme val="minor"/>
    </font>
    <font>
      <b/>
      <sz val="11.0"/>
      <color rgb="FF000000"/>
      <name val="Calibri"/>
    </font>
    <font>
      <sz val="11.0"/>
      <color rgb="FF000000"/>
      <name val="Calibri"/>
    </font>
    <font>
      <sz val="11.0"/>
      <color rgb="FF000000"/>
      <name val="&quot;Aptos Narrow&quot;"/>
    </font>
  </fonts>
  <fills count="9">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DFDFD"/>
        <bgColor rgb="FFFDFDFD"/>
      </patternFill>
    </fill>
    <fill>
      <patternFill patternType="solid">
        <fgColor rgb="FFB6D7A8"/>
        <bgColor rgb="FFB6D7A8"/>
      </patternFill>
    </fill>
    <fill>
      <patternFill patternType="solid">
        <fgColor rgb="FFEAD1DC"/>
        <bgColor rgb="FFEAD1DC"/>
      </patternFill>
    </fill>
    <fill>
      <patternFill patternType="solid">
        <fgColor rgb="FFF9CB9C"/>
        <bgColor rgb="FFF9CB9C"/>
      </patternFill>
    </fill>
    <fill>
      <patternFill patternType="solid">
        <fgColor rgb="FFD5A6BD"/>
        <bgColor rgb="FFD5A6BD"/>
      </patternFill>
    </fill>
  </fills>
  <borders count="16">
    <border/>
    <border>
      <left/>
      <right/>
      <top/>
      <bottom/>
    </border>
    <border>
      <left style="thin">
        <color rgb="FFABABAB"/>
      </left>
      <top style="thin">
        <color rgb="FFABABAB"/>
      </top>
      <bottom style="thin">
        <color rgb="FFABABAB"/>
      </bottom>
    </border>
    <border>
      <right style="thin">
        <color rgb="FFABABAB"/>
      </right>
      <top style="thin">
        <color rgb="FFABABAB"/>
      </top>
      <bottom style="thin">
        <color rgb="FFABABAB"/>
      </bottom>
    </border>
    <border>
      <left style="thin">
        <color rgb="FFABABAB"/>
      </left>
      <top style="thin">
        <color rgb="FFABABAB"/>
      </top>
    </border>
    <border>
      <left style="thin">
        <color rgb="FFFFFFFF"/>
      </left>
      <top style="thin">
        <color rgb="FFABABAB"/>
      </top>
    </border>
    <border>
      <left style="thin">
        <color rgb="FFFFFFFF"/>
      </left>
      <right style="thin">
        <color rgb="FFABABAB"/>
      </right>
      <top style="thin">
        <color rgb="FFABABAB"/>
      </top>
    </border>
    <border>
      <right style="thin">
        <color rgb="FFABABAB"/>
      </right>
      <top style="thin">
        <color rgb="FFABABAB"/>
      </top>
    </border>
    <border>
      <left style="thin">
        <color rgb="FFABABAB"/>
      </left>
      <top style="thin">
        <color rgb="FFFFFFFF"/>
      </top>
    </border>
    <border>
      <left style="thin">
        <color rgb="FFABABAB"/>
      </left>
    </border>
    <border>
      <right style="thin">
        <color rgb="FFABABAB"/>
      </right>
    </border>
    <border>
      <left style="thin">
        <color rgb="FFFFFFFF"/>
      </left>
      <top style="thin">
        <color rgb="FFABABAB"/>
      </top>
      <bottom style="thin">
        <color rgb="FFABABAB"/>
      </bottom>
    </border>
    <border>
      <left style="thin">
        <color rgb="FFABABAB"/>
      </left>
      <right style="thin">
        <color rgb="FFABABAB"/>
      </right>
      <top style="thin">
        <color rgb="FFABABAB"/>
      </top>
    </border>
    <border>
      <left style="thin">
        <color rgb="FFABABAB"/>
      </left>
      <right style="thin">
        <color rgb="FFABABAB"/>
      </right>
    </border>
    <border>
      <left style="thin">
        <color rgb="FFABABAB"/>
      </left>
      <right style="thin">
        <color rgb="FFABABAB"/>
      </right>
      <top style="thin">
        <color rgb="FFABABAB"/>
      </top>
      <bottom style="thin">
        <color rgb="FFABABAB"/>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shrinkToFit="0" wrapText="1"/>
    </xf>
    <xf borderId="0" fillId="0" fontId="2" numFmtId="0" xfId="0" applyAlignment="1" applyFont="1">
      <alignment horizontal="right" vertical="bottom"/>
    </xf>
    <xf borderId="0" fillId="0" fontId="2" numFmtId="0" xfId="0" applyAlignment="1" applyFont="1">
      <alignment vertical="bottom"/>
    </xf>
    <xf borderId="0" fillId="0" fontId="3" numFmtId="0" xfId="0" applyAlignment="1" applyFont="1">
      <alignment vertical="bottom"/>
    </xf>
    <xf borderId="0" fillId="2" fontId="2" numFmtId="0" xfId="0" applyAlignment="1" applyFill="1" applyFont="1">
      <alignment vertical="bottom"/>
    </xf>
    <xf borderId="0" fillId="0" fontId="2" numFmtId="0" xfId="0" applyAlignment="1" applyFont="1">
      <alignment readingOrder="0" vertical="bottom"/>
    </xf>
    <xf borderId="0" fillId="0" fontId="4" numFmtId="0" xfId="0" applyFont="1"/>
    <xf borderId="0" fillId="3" fontId="2" numFmtId="0" xfId="0" applyAlignment="1" applyFill="1" applyFont="1">
      <alignment horizontal="right" vertical="bottom"/>
    </xf>
    <xf borderId="0" fillId="2" fontId="5" numFmtId="0" xfId="0" applyAlignment="1" applyFont="1">
      <alignment vertical="bottom"/>
    </xf>
    <xf borderId="0" fillId="4" fontId="6" numFmtId="0" xfId="0" applyAlignment="1" applyFill="1" applyFont="1">
      <alignment vertical="bottom"/>
    </xf>
    <xf borderId="0" fillId="4" fontId="2" numFmtId="0" xfId="0" applyAlignment="1" applyFont="1">
      <alignment vertical="bottom"/>
    </xf>
    <xf borderId="0" fillId="0" fontId="7" numFmtId="0" xfId="0" applyFont="1"/>
    <xf borderId="0" fillId="0" fontId="8" numFmtId="0" xfId="0" applyFont="1"/>
    <xf borderId="1" fillId="5" fontId="9" numFmtId="0" xfId="0" applyAlignment="1" applyBorder="1" applyFill="1" applyFont="1">
      <alignment horizontal="right"/>
    </xf>
    <xf borderId="1" fillId="5" fontId="8" numFmtId="0" xfId="0" applyBorder="1" applyFont="1"/>
    <xf borderId="1" fillId="5" fontId="10" numFmtId="0" xfId="0" applyBorder="1" applyFont="1"/>
    <xf borderId="1" fillId="5" fontId="11" numFmtId="0" xfId="0" applyAlignment="1" applyBorder="1" applyFont="1">
      <alignment horizontal="left"/>
    </xf>
    <xf borderId="1" fillId="5" fontId="8" numFmtId="0" xfId="0" applyAlignment="1" applyBorder="1" applyFont="1">
      <alignment readingOrder="0"/>
    </xf>
    <xf borderId="1" fillId="5" fontId="12" numFmtId="0" xfId="0" applyAlignment="1" applyBorder="1" applyFont="1">
      <alignment horizontal="left"/>
    </xf>
    <xf borderId="1" fillId="5" fontId="13" numFmtId="0" xfId="0" applyAlignment="1" applyBorder="1" applyFont="1">
      <alignment readingOrder="0"/>
    </xf>
    <xf borderId="1" fillId="6" fontId="9" numFmtId="0" xfId="0" applyBorder="1" applyFill="1" applyFont="1"/>
    <xf borderId="1" fillId="6" fontId="8" numFmtId="0" xfId="0" applyBorder="1" applyFont="1"/>
    <xf borderId="1" fillId="6" fontId="14" numFmtId="0" xfId="0" applyBorder="1" applyFont="1"/>
    <xf borderId="1" fillId="6" fontId="15" numFmtId="0" xfId="0" applyAlignment="1" applyBorder="1" applyFont="1">
      <alignment horizontal="left"/>
    </xf>
    <xf borderId="1" fillId="6" fontId="8" numFmtId="0" xfId="0" applyAlignment="1" applyBorder="1" applyFont="1">
      <alignment readingOrder="0"/>
    </xf>
    <xf borderId="1" fillId="6" fontId="9" numFmtId="0" xfId="0" applyAlignment="1" applyBorder="1" applyFont="1">
      <alignment horizontal="left"/>
    </xf>
    <xf borderId="1" fillId="7" fontId="9" numFmtId="0" xfId="0" applyBorder="1" applyFill="1" applyFont="1"/>
    <xf borderId="1" fillId="7" fontId="8" numFmtId="0" xfId="0" applyBorder="1" applyFont="1"/>
    <xf borderId="1" fillId="7" fontId="16" numFmtId="0" xfId="0" applyBorder="1" applyFont="1"/>
    <xf borderId="1" fillId="7" fontId="9" numFmtId="0" xfId="0" applyAlignment="1" applyBorder="1" applyFont="1">
      <alignment horizontal="left"/>
    </xf>
    <xf borderId="1" fillId="7" fontId="8" numFmtId="0" xfId="0" applyAlignment="1" applyBorder="1" applyFont="1">
      <alignment readingOrder="0"/>
    </xf>
    <xf borderId="0" fillId="7" fontId="8" numFmtId="0" xfId="0" applyAlignment="1" applyFont="1">
      <alignment readingOrder="0"/>
    </xf>
    <xf borderId="1" fillId="8" fontId="9" numFmtId="0" xfId="0" applyBorder="1" applyFill="1" applyFont="1"/>
    <xf borderId="1" fillId="8" fontId="8" numFmtId="0" xfId="0" applyBorder="1" applyFont="1"/>
    <xf borderId="1" fillId="8" fontId="17" numFmtId="0" xfId="0" applyBorder="1" applyFont="1"/>
    <xf borderId="1" fillId="8" fontId="9" numFmtId="0" xfId="0" applyAlignment="1" applyBorder="1" applyFont="1">
      <alignment horizontal="left"/>
    </xf>
    <xf borderId="1" fillId="8" fontId="8" numFmtId="0" xfId="0" applyAlignment="1" applyBorder="1" applyFont="1">
      <alignment readingOrder="0"/>
    </xf>
    <xf borderId="0" fillId="8" fontId="8" numFmtId="0" xfId="0" applyAlignment="1" applyFont="1">
      <alignment readingOrder="0"/>
    </xf>
    <xf borderId="0" fillId="0" fontId="9" numFmtId="0" xfId="0" applyFont="1"/>
    <xf borderId="1" fillId="2" fontId="18" numFmtId="0" xfId="0" applyBorder="1" applyFont="1"/>
    <xf borderId="1" fillId="2" fontId="9" numFmtId="0" xfId="0" applyAlignment="1" applyBorder="1" applyFont="1">
      <alignment horizontal="left"/>
    </xf>
    <xf borderId="0" fillId="0" fontId="8" numFmtId="0" xfId="0" applyAlignment="1" applyFont="1">
      <alignment readingOrder="0"/>
    </xf>
    <xf borderId="0" fillId="0" fontId="13" numFmtId="0" xfId="0" applyFont="1"/>
    <xf borderId="1" fillId="4" fontId="9" numFmtId="0" xfId="0" applyAlignment="1" applyBorder="1" applyFont="1">
      <alignment horizontal="left"/>
    </xf>
    <xf borderId="0" fillId="0" fontId="9" numFmtId="0" xfId="0" applyAlignment="1" applyFont="1">
      <alignment horizontal="left"/>
    </xf>
    <xf borderId="1" fillId="3" fontId="8" numFmtId="0" xfId="0" applyBorder="1" applyFont="1"/>
    <xf borderId="0" fillId="0" fontId="8" numFmtId="10" xfId="0" applyFont="1" applyNumberFormat="1"/>
    <xf borderId="0" fillId="0" fontId="19" numFmtId="0" xfId="0" applyFont="1"/>
    <xf borderId="0" fillId="0" fontId="19" numFmtId="10" xfId="0" applyFont="1" applyNumberFormat="1"/>
    <xf borderId="2" fillId="0" fontId="9" numFmtId="0" xfId="0" applyBorder="1" applyFont="1"/>
    <xf borderId="3" fillId="0" fontId="9" numFmtId="10" xfId="0" applyBorder="1" applyFont="1" applyNumberFormat="1"/>
    <xf borderId="4" fillId="0" fontId="9" numFmtId="0" xfId="0" applyBorder="1" applyFont="1"/>
    <xf borderId="5" fillId="0" fontId="9" numFmtId="0" xfId="0" applyBorder="1" applyFont="1"/>
    <xf borderId="6" fillId="0" fontId="9" numFmtId="0" xfId="0" applyBorder="1" applyFont="1"/>
    <xf borderId="7" fillId="0" fontId="9" numFmtId="0" xfId="0" applyBorder="1" applyFont="1"/>
    <xf borderId="7" fillId="0" fontId="9" numFmtId="10" xfId="0" applyBorder="1" applyFont="1" applyNumberFormat="1"/>
    <xf borderId="8" fillId="0" fontId="9" numFmtId="0" xfId="0" applyBorder="1" applyFont="1"/>
    <xf borderId="9" fillId="0" fontId="9" numFmtId="0" xfId="0" applyBorder="1" applyFont="1"/>
    <xf borderId="10" fillId="0" fontId="9" numFmtId="10" xfId="0" applyBorder="1" applyFont="1" applyNumberFormat="1"/>
    <xf borderId="11" fillId="0" fontId="9" numFmtId="0" xfId="0" applyBorder="1" applyFont="1"/>
    <xf borderId="12" fillId="0" fontId="9" numFmtId="0" xfId="0" applyBorder="1" applyFont="1"/>
    <xf borderId="13" fillId="0" fontId="9" numFmtId="0" xfId="0" applyBorder="1" applyFont="1"/>
    <xf borderId="14" fillId="0" fontId="9" numFmtId="0" xfId="0" applyBorder="1" applyFont="1"/>
    <xf borderId="15" fillId="0" fontId="20" numFmtId="0" xfId="0" applyAlignment="1" applyBorder="1" applyFont="1">
      <alignment horizontal="center" vertical="top"/>
    </xf>
    <xf borderId="0" fillId="0" fontId="21" numFmtId="0" xfId="0" applyAlignment="1" applyFont="1">
      <alignment horizontal="right"/>
    </xf>
    <xf borderId="0" fillId="0" fontId="21" numFmtId="0" xfId="0" applyFont="1"/>
    <xf borderId="0" fillId="0" fontId="21" numFmtId="0" xfId="0" applyAlignment="1" applyFont="1">
      <alignment vertical="top"/>
    </xf>
    <xf borderId="0" fillId="0" fontId="22" numFmtId="0" xfId="0" applyFont="1"/>
    <xf borderId="0" fillId="0" fontId="2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1.xml"/><Relationship Id="rId21" Type="http://schemas.openxmlformats.org/officeDocument/2006/relationships/pivotCacheDefinition" Target="pivotCache/pivotCacheDefinition2.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180975</xdr:colOff>
      <xdr:row>0</xdr:row>
      <xdr:rowOff>114300</xdr:rowOff>
    </xdr:from>
    <xdr:ext cx="4876800" cy="5381625"/>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609600</xdr:colOff>
      <xdr:row>28</xdr:row>
      <xdr:rowOff>171450</xdr:rowOff>
    </xdr:from>
    <xdr:ext cx="4505325" cy="2085975"/>
    <xdr:pic>
      <xdr:nvPicPr>
        <xdr:cNvPr id="0" name="image1.png" title="Imagem"/>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Y43" sheet="Análise para RQs"/>
  </cacheSource>
  <cacheFields>
    <cacheField name="ID" numFmtId="0">
      <sharedItems containsSemiMixedTypes="0" containsString="0" containsNumber="1" containsInteger="1">
        <n v="25637.0"/>
        <n v="18301.0"/>
        <n v="31614.0"/>
        <n v="11247.0"/>
        <n v="240325.0"/>
        <n v="396625.0"/>
        <n v="323107.0"/>
        <n v="228110.0"/>
        <n v="231273.0"/>
        <n v="3017.0"/>
        <n v="194180.0"/>
        <n v="127213.0"/>
        <n v="25744.0"/>
        <n v="25196.0"/>
        <n v="354302.0"/>
        <n v="340712.0"/>
        <n v="8679.0"/>
        <n v="9878.0"/>
        <n v="398317.0"/>
        <n v="41750.0"/>
        <n v="147937.0"/>
        <n v="31666.0"/>
        <n v="14189.0"/>
        <n v="403583.0"/>
        <n v="22001.0"/>
        <n v="26673.0"/>
        <n v="25714.0"/>
        <n v="23855.0"/>
        <n v="30061.0"/>
        <n v="12641.0"/>
        <n v="34041.0"/>
        <n v="232488.0"/>
        <n v="118123.0"/>
        <n v="20827.0"/>
        <n v="392860.0"/>
        <n v="7953.0"/>
        <n v="127300.0"/>
        <n v="560.0"/>
        <n v="8410.0"/>
        <n v="27494.0"/>
        <n v="234758.0"/>
        <n v="315641.0"/>
      </sharedItems>
    </cacheField>
    <cacheField name="Fórum" numFmtId="0">
      <sharedItems>
        <s v="Project Management"/>
        <s v="Software Engineering"/>
        <s v="Software Quality Assurance &amp; Testing"/>
      </sharedItems>
    </cacheField>
    <cacheField name="ID Site" numFmtId="0">
      <sharedItems containsString="0" containsBlank="1">
        <m/>
      </sharedItems>
    </cacheField>
    <cacheField name="Site" numFmtId="0">
      <sharedItems>
        <s v="https://pm.stackexchange.com/questions/"/>
        <s v="https://softwareengineering.stackexchange.com/questions/"/>
        <s v="Newest Questions - Software Engineering Stack Exchange"/>
        <s v="https://sqa.stackexchange.com/questions/"/>
      </sharedItems>
    </cacheField>
    <cacheField name="Título" numFmtId="0">
      <sharedItems>
        <s v="Is QA stage mandatory to be included into user story cycle?"/>
        <s v="How to eliminate wasted time / improve cadence on epic boundaries"/>
        <s v="How to incorporate UX/UI in sprint correctly when mockups are required to estimate a story?"/>
        <s v="Why not use costs instead of story points for estimation?"/>
        <s v="Should a user story be shared between developers?"/>
        <s v="Product Backlog items estimation - How to avoid estimations in hours when there is no team velocity and team is new?"/>
        <s v="Scrum: Product Backlogs and Tasks"/>
        <s v="Disadvantages of vertical user stories"/>
        <s v="How to get better understanding of the users as a programmer"/>
        <s v="Where should design be incorporated in an agile process?"/>
        <s v="User stories are too high level and conceptual, management expects developers to fill in the blanks"/>
        <s v="Agile product planning alternatives to aid goal-oriented feature quality"/>
        <s v="Lingua franca for technical stories"/>
        <s v="How to write a summary for a user story?"/>
        <s v="How can agile be applied to applications involving complex processing?"/>
        <s v="how can user story maps be used for projects with heavy backend work and little UI"/>
        <s v="How does a team (new to product and domain) estimate user stories of a ten year old product?"/>
        <s v="How can I manage both user stories and other non-backlog tasks if using VersionOne?"/>
        <s v="Do user stories need to be Independent and Valuable or Independently Valuable?"/>
        <s v="Many user stories share the same technical tasks: what to do?"/>
        <s v="How much detail about a user story can a developer expect?"/>
        <s v="How to implement unit testing with a small Scrum team without spending half the Sprint unit-testing stories?"/>
        <s v="Is it ok to define a user story that has no real business value without another story?"/>
        <s v="How to determine the cost of a story point?"/>
        <s v="How to allocate story points on extremely complex user stories?"/>
        <s v="How far should you vertically slice?"/>
        <s v="How to write a user story involving artistic work?"/>
        <s v="How to plan 2 week sprints, when each story completed will generate multiple stories"/>
        <s v="How do you estimate epics?"/>
        <s v="What is the way to go to create tasks?"/>
        <s v="Acceptance Criteria for user story on interface adapting for devices with different resolutions"/>
        <s v="UX designers working one Sprint ahead"/>
        <s v="In Scrum, what to do when story points and task hours don't roughly correlate?"/>
        <s v="Do user stories mean rework? How much is ok?"/>
        <s v="How do I break down a feature that has complex dependencies?"/>
        <s v="How to keep all the developers on the same page in Scrum?"/>
        <s v="I would like to improve in writing goal-oriented user stories/features"/>
        <s v="Techniques to write good acceptance criteria for user stories"/>
        <s v="How should a team handle disagreements about story-point estimates in Scrum?"/>
        <s v="What to do for delayed stories between sprints"/>
        <s v="The place of UI design when estimating and elaborating user stories"/>
        <s v="Dev and Tester separated team AND single sprint"/>
      </sharedItems>
    </cacheField>
    <cacheField name="Critério" numFmtId="0">
      <sharedItems>
        <s v="IC: Discussion that addresses issues related to user stories."/>
      </sharedItems>
    </cacheField>
    <cacheField name="Ano" numFmtId="0">
      <sharedItems containsSemiMixedTypes="0" containsString="0" containsNumber="1" containsInteger="1">
        <n v="2019.0"/>
        <n v="2016.0"/>
        <n v="2021.0"/>
        <n v="2014.0"/>
        <n v="2011.0"/>
        <n v="2013.0"/>
        <n v="2018.0"/>
        <n v="2017.0"/>
        <n v="2012.0"/>
        <n v="2015.0"/>
        <n v="2020.0"/>
        <n v="2022.0"/>
      </sharedItems>
    </cacheField>
    <cacheField name="Última resposta com score &gt; 0" numFmtId="0">
      <sharedItems containsSemiMixedTypes="0" containsString="0" containsNumber="1" containsInteger="1">
        <n v="2019.0"/>
        <n v="2016.0"/>
        <n v="2021.0"/>
        <n v="2014.0"/>
        <n v="2015.0"/>
        <n v="2011.0"/>
        <n v="2018.0"/>
        <n v="2017.0"/>
        <n v="2013.0"/>
        <n v="2012.0"/>
        <n v="2020.0"/>
        <n v="2022.0"/>
      </sharedItems>
    </cacheField>
    <cacheField name="Nacionalidade" numFmtId="0">
      <sharedItems>
        <s v="New York"/>
        <s v="Praga, República Tcheca"/>
        <s v="Não consta"/>
        <s v="Cary, Carolina do Norte, EUA"/>
        <s v="Utah, Estados Unidos"/>
        <s v="Estados Unidos"/>
        <s v="Amsterdã, Países Baixos"/>
        <s v="Eslovênia"/>
        <s v="Londres"/>
        <s v="Tallinn, Estônia"/>
        <s v="Alemanha"/>
        <s v="Beirute, Líbano"/>
        <s v="L'Aquila, Itália"/>
        <s v="Lyon, França"/>
        <s v="Costa Rica"/>
        <s v="Quebec, Canadá"/>
        <s v="Hamburgo, Alemanha"/>
        <s v="Cardiff, Reino Unido"/>
        <s v="Chennai, Índia"/>
        <s v="Gainesville, Flórida"/>
        <s v="Viena, Áustria"/>
      </sharedItems>
    </cacheField>
    <cacheField name="Problema (Pergunta)&#10;Nicole" numFmtId="0">
      <sharedItems>
        <s v="Quando considerar uma história como concluída"/>
        <s v="Transição entre épicos"/>
        <s v="Como integrar UX/UI ao Scrum sem virar waterfall"/>
        <s v="Estimativa baseada custo"/>
        <s v="Responsabilidade e divisão"/>
        <s v="Conflito entre estimar em Story Points vs. horas/dias"/>
        <s v="Especialização vs tarefas"/>
        <s v="Desvantagens histórias verticais"/>
        <s v="Histórias orientadas à solução"/>
        <s v="Design gera dependência"/>
        <s v="User Stories muito conceituais gerando mudanças e retrabalho durante a implementação"/>
        <s v="Histórias mal definidas"/>
        <s v="Falta de linguagem comum para histórias técnicas entre disciplinas diferentes"/>
        <s v="Dificuldade de estruturar e visualizar o backlog"/>
        <s v="Histórias vs processamento"/>
        <s v="Story map técnico"/>
        <s v="Falta conhecimento produto"/>
        <s v="Trabalhos fora backlog"/>
        <s v="Histórias tecnicamente independentes, mas não valiosas isoladamente"/>
        <s v="Dependência entre histórias"/>
        <s v="Requisitos insuficientes fornecidos"/>
        <s v="Unit testing aumentando esforço e causando falha nas Sprints"/>
        <s v="Como determinar o custo monetário de um Story Point"/>
        <s v="Estimativa com Story Points"/>
        <s v="Dificuldade de fatiar verticalmente (vertical slicing) em sistema complexo"/>
        <s v="Como definir e estimar histórias com trabalho artístico subjetivo e imprevisível"/>
        <s v="Dificuldade de planejar backlog"/>
        <s v="Como estimar épicos vagos para previsão inicial"/>
        <s v="Mapeamento histórias tickets"/>
        <s v="Dúvida sobre adequação de critérios de aceitação"/>
        <s v="UX sem valor direto"/>
        <s v="Baixa, correlação, estimativas"/>
        <s v="Rework excessivo "/>
        <s v="Dificuldade em criar histórias modelo INVEST"/>
        <s v="Conhecimento centralizado histórias"/>
        <s v="Dificuldade escrever histórias "/>
        <s v="Critérios mal definidos"/>
        <s v="Conflito na estimativa"/>
        <s v="Histórias bloqueadas dependentes do cliente"/>
        <s v="Estimativa sem UI definida"/>
        <s v="Desbalanceamento de Trabalho"/>
      </sharedItems>
    </cacheField>
    <cacheField name="Problema (Pergunta)&#10;Yuri" numFmtId="0">
      <sharedItems>
        <s v="Dúvida sobre considerar uma história concluída quando o desenvolvimento termina, mas o teste (QA) ainda é necessário"/>
        <s v="Tempo perdido entre epicos"/>
        <s v="Dependência de mockups para estimativa; Dificuldade com UX/UI e histórias"/>
        <s v="Conversão de complexidade em métrica financeira"/>
        <s v="Ambiguidade na titularidade da entrega"/>
        <s v="Dificuldade em estimar User Stories"/>
        <s v="Times em uma unica task"/>
        <s v="Desvantagens de histórias verticais"/>
        <s v="Prescrição prematura de soluções"/>
        <s v="Design gera dependencia"/>
        <s v="Escrita de histórias fraca"/>
        <s v="História mal desenvolvida"/>
        <s v="Barreira de comunicação técnica"/>
        <s v="Histórias de usuário enganosos ou pouco úteis"/>
        <s v="Relacionar tasks e user stories"/>
        <s v="Utilização de user story maps"/>
        <s v="Escrita fraca de user stories para sistema legado"/>
        <s v="Catogirazação de demanda diferente"/>
        <s v="Dificuldade em aplicar o critério INVEST ao fatiar histórias interdependentes por questões regulatórias"/>
        <s v="Histórias com dependências"/>
        <s v="Falta de informação"/>
        <s v="Inexperiência "/>
        <s v="Histórias dependentes"/>
        <s v="Estimar custo de história"/>
        <s v="Dificuldade em pontuar tarefas de infraestrutura/DevOps muito grandes"/>
        <s v="Dificuldade em fatiar verticalmente histórias em sistemas distribuídos complexos"/>
        <s v="Dificuldade em definir e estimar histórias de usuário para trabalhos artísticos devido à sua natureza"/>
        <s v="Incerteza no planejamento de histórias que geram novas demandas imediatas"/>
        <s v="Epics imprecisos; Falta de refinamento;"/>
        <s v="Dificuldade na criação de tarefas"/>
        <s v="Critério de aceitação de user storie"/>
        <s v="UX sem valor em histórias"/>
        <s v="Correlation, stoy points, task"/>
        <s v="Histórias sequenciais gerando retrabalho"/>
        <s v="Dificuldade em aderir ao Scrum e ao INVEST devido a dependências estreitas"/>
        <s v="Conhecimento centralizado histórias"/>
        <s v="Dificuldade em escrever user stories"/>
        <s v="Definir criterios de aceitação"/>
        <s v="Conflito na estimativa"/>
        <s v="Histórias não concluídas por falta de informações do cliente"/>
        <s v="Incerteza técnica por ausência de definição visual"/>
        <s v="Sizing conflitante"/>
      </sharedItems>
    </cacheField>
    <cacheField name="-&gt;Problema código final" numFmtId="0">
      <sharedItems>
        <s v="Process/workflow issues around user stories"/>
        <s v="UX/UI integration challenges around user stories"/>
        <s v="Difficulties in estimating user stories"/>
        <s v="User stories framed as solutions or technical tasks"/>
        <s v="Poor decomposition and granularity of user stories"/>
        <s v="User stories lacking user value orientation"/>
        <s v="Lack of clarity and completeness in user stories"/>
        <s v="Lack of product/domain knowledge"/>
        <s v="Poorly defined or missing acceptance criteria"/>
        <s v="Rework and delivery issues caused by user story problems"/>
        <s v="User story writing improvement need"/>
      </sharedItems>
    </cacheField>
    <cacheField name="-&gt;Tipo de Problema" numFmtId="0">
      <sharedItems>
        <s v="User Story related Issues"/>
        <s v="User Story Issues"/>
      </sharedItems>
    </cacheField>
    <cacheField name="Trecho - Problema" numFmtId="0">
      <sharedItems>
        <s v="So at the end of the Sprint I usually have several user stories under QA, so should I mark them as completed, or not? 'Should the &quot;QA COMPLETED&quot; condition be included into the Definition Of Done?')"/>
        <s v="The problem I've noticed is that there seems to be a lot of time wasted on the boundary between epics. Towards the end of work on an epic, we get increasingly blocked by lack of tasks we can work on or dependencies."/>
        <s v="I'm struggling to figure out a way to handle UX/UI in an agile way. It takes so long for the designer to deliver the designs... how do you manage this in SCRUM?"/>
        <s v="What would be the disadvantage of using such a scheme for estimating tickets? Has anyone tried estimating tickets based on costs within scrum?"/>
        <s v="Who &quot;owns&quot; which story? What does &quot;in progress&quot; mean or &quot;done&quot;? Should we make two separate stories for back-end and front-end? If so, doesn't that break the idea of user stories based on feature? "/>
        <s v="The project manager wants to estimate in days/hours these user stories. I believe that's not a good idea."/>
        <s v="So for the tasks above it seems like all three team members are going to be working on one tasks when only one member should be assigned to one task.[...]  Is there a different way tasks should be written so that it relates to just one of my team members?"/>
        <s v="What are some more drawbacks of vertically slicing user stories?"/>
        <s v="the business analysts often provide us &quot;user stories&quot; that are more solution than problem statement."/>
        <s v="The problem I have with this is that the &quot;development user stories&quot; then have these dependencies on other stories which we generally try to avoid."/>
        <s v="user-stories are too conceptual and just convey the underlying intention but lack enough details...The developer is expected to fill in the blanks at his own discretion... many of these blanks are discovered after some wrong assumptions have made made the"/>
        <s v=" there are more ways to write bad/unusable user stories than writing really good ones. And it's easy to get to the wrong tracks even if you're careful. "/>
        <s v="we are finding it very hard to convey enough meaning such that every technical team member can understand it... What could be the technical story's lingua franca?"/>
        <s v="the problem is that from above the backlog seems clumsy. I would like backlog (and the board) to display stories in (readably) coherent structure"/>
        <s v="Here it can get really difficult to relate tasks and user stories. Are there techniques to overcome this issue or is it just something we have to accept and make the best of it?"/>
        <s v="My question is: how can user story maps be used to visualize a project like this where there isn't too much of a user story going on. it's mostly stuff going on at the backend to scale operations "/>
        <s v=" the team is not feeling confident enough in converting the user stories to functionality"/>
        <s v="VersionOne is fine for tracking user stories, but not all work is currently organized into user stories"/>
        <s v="These stories could be implemented independently but are valuable only in conjunction with each other. Is this a valid way of splitting or do the stories also need to be independently valuable?"/>
        <s v="Here the problem is whether we should ignore the principle of having isolated user stories (without any dependency between them)."/>
        <s v="&quot;But often enough I find myself in the situation that such information is not provided or in very shoddy fashion.&quot;"/>
        <s v="testing is taking as much time, if not more, than the development/coding time...This has led us to fail sprints... unit testing ends up taking so long that the stories don't get finished before the end of the Sprint. "/>
        <s v="The problems I see with having 2 separate stories is that: US2 depends on US1 to be achievable (this breaks the I of INVEST right ?).&#10;US1 without US2 does not bring any real business value. Releasing the product with only US1 would provide the capability "/>
        <s v="How can I determine the monetary cost of a user story point in a given team? I have no clue how one could determine the cost of a story point"/>
        <s v="How do you accurately apply story points to very big tasks? thanks"/>
        <s v="The problem now is using this user story to vertically slice... do we slice across the entire system?If we are to see each PBI as a deliverable unit that provides value to the user, there doesn't seem to be a way to break this down. Are we just being too "/>
        <s v="an artistic story can take a long time to finish, due to the nature of the work. the 2 first tasks are subjective, so the artist can take a long time doing iterations. the time to complete it can still be greater than the sprint, or the effort estimation "/>
        <s v="does anyone have any tips on how to plan a backlog multiple sprints in advance. [...] It's beginning to get really tough committing to even a one week sprint as we can't commit a week's worth of user stories."/>
        <s v="Let's say we have a brand new project and we want to raughly come up with a bunch of releases and its dates. How do you get the team to estimate them? Epics have normally no acceptance criteria and are quite vague"/>
        <s v="What would a Task-Ticket look like?&#10;Is it a user-story like: As a guest I want to be able to register myself with the site or should I split them into tickets/tasks like Create a registration page/form, Send an email to to the user when registered. Is it "/>
        <s v="I'm working on acceptance criteria for user story on interface adapting for multi-device Web based application.&#10;I assumed that interface adapting should be very common issue for most of products, I have tried to google possible acceptance criteria, but ha"/>
        <s v="In our case the UX design stories don't provide such value (they are more like a backlog grooming activity)."/>
        <s v=" I noticed that the correlation between story points and task hours is not very good. That is, we often have stories of lesser points decomposed into a total task hours greater than stories of higher points."/>
        <s v="I feel something is wrong when user stories seem to produce so much rework! [...] What would be the best Scrum approach here? Should there be something like a special Sprint for architecure/ design at the beginning (and from time to time again)?"/>
        <s v="I'm struggling to adhere to Scrum and INVEST... It's specifically the ability to make them independent and releasable that I just can't seem to fathom. "/>
        <s v="A dev team is willing to work only on the same user story which they have started previously, stating that they know it very well and will finish it easily."/>
        <s v="I would like to improve my user stories writing abilities so I need your experience and guidance."/>
        <s v="we struggle to define clear acceptance criteria while grooming/planning our user stories."/>
        <s v="What should the Scrum Master do if the story is judged very differently by the team members, but they can't convince each other enough to agree on a story-point estimate?"/>
        <s v="stories that are not considered done because of missing information from the customer. I am waiting on the customer for some answers.... the stories will be shifted to next sprint."/>
        <s v="I can't estimate accurately enough at this stage of the process as some elements are missing i.e. UI."/>
        <s v="we cannot make a sizing that make sense for both the devs and testers inside the same sprint."/>
      </sharedItems>
    </cacheField>
    <cacheField name="-&gt; Metodologia código final" numFmtId="0">
      <sharedItems>
        <s v="Not mentioned"/>
        <s v="Kanban"/>
        <s v="Scrum"/>
        <s v="XP"/>
        <s v="BDD"/>
        <s v="Lean Start-up"/>
      </sharedItems>
    </cacheField>
    <cacheField name="Trecho - Metodologia Ágil" numFmtId="0">
      <sharedItems>
        <s v="A 2-week Sprint is close to the end (let's say 80% of the time has passed by)"/>
        <s v="Our team works in a kanban-ish process [...] There are no time-boxed sprints. "/>
        <s v="how do you manage this in SCRUM? our 2-weeks sprint iterations."/>
        <s v="Has anyone tried estimating tickets based on costs within scrum?"/>
        <s v=" Is this a &quot;bad&quot; way to use Scrum?"/>
        <s v="I want to estimate them in story points and to track the team's performance throughout the sprints"/>
        <s v="&quot;I have been reading the book, Scrum Shortcuts Without Cutting Corners&quot;"/>
        <s v="The agile approach is to structure the work into vertical user stories "/>
        <s v="I work at a company that wants to be agile"/>
        <s v="We use a scrum-based agile development process."/>
        <s v="a true intention of doing XP. XP developers being designers and analysts at the same time."/>
        <s v="In Agile terms these kind of functionality documentation is the Backlog."/>
        <s v="I have coached my team to write quite good user stories using gherkin. The user story's lingua franca would be gherkin."/>
        <s v="We don't do scrum, we just use backlog and modified kanban board to visualize our progress."/>
        <s v="Most of the literature on agile seems to be biased towards CRUD type business applications"/>
        <s v="I find using story maps a very effective way in convincing clients to use the lean start-up principles"/>
        <s v="I am the scrum master for one of the product"/>
        <s v="We are taking our first steps in agile and Scrum"/>
        <s v="eles usam a técnica INVEST para escrever User Stories mas não cita a metodologia exata"/>
        <s v=" Everyone in the team knows that each user story could be picked up by the PO for the next iteration at any time"/>
        <s v="The biggest drawback of agile development I have experienced [...] I've read something like 2 pages in natural language per story in &quot;Planning XP&quot;"/>
        <s v="working in Scrum with 2 weeks Sprints. implementing unit testing as part of our Definition of Done"/>
        <s v="I'm struggling to find the best way to use scrum and user stories on the following case"/>
        <s v="The team assigns T-shirt...planning poker... team velocity."/>
        <s v="-"/>
        <s v="We are a small team of 4 software developers trying to use Scrum."/>
        <s v="Using Scrum, what would be the way to define, structure and estimate a user story...greater than the sprint..."/>
        <s v="I would like to know if anyone is in a similar situation working as part of a SCRUM team"/>
        <s v="run a couple of sprints, figure the team's velocity and do the math."/>
        <s v="However in Scrum you are only supposed to have user stories that provide value to the user. [...]  it goes somewhat against Scrum principles.&#10;"/>
        <s v="Our development team is pretty new to the scrum process"/>
        <s v="We are currently setting up a scrum team [...] Ok, now we are going to use Scrum for the first time. Next week will be the first Sprint Planning"/>
        <s v="However, in Scrum, using INVEST principles, each story should be at the very least releasable and independent."/>
        <s v="&quot;How to keep all the developers on the same page in Scrum?&quot;"/>
        <s v="É mencionado sprints e o uso de User Stories, a metodologia não é explicita"/>
        <s v="I am a developer in the scrum master"/>
        <s v="During estimation, the Product Owner presents a user story... [...]  What should the Scrum Master do..."/>
        <s v="I am new to Agile."/>
        <s v="Our company is trying to follow Agile methodologies when it comes to estimating and prioritizing any new development work"/>
        <s v="we are using Jira for Scrum."/>
      </sharedItems>
    </cacheField>
    <cacheField name="-&gt; Cerimônia Código Final" numFmtId="0">
      <sharedItems>
        <s v="Sprint"/>
        <s v="Not mentioned"/>
        <s v="Sprint Planning"/>
        <s v="Planning"/>
        <s v="Backlog refinament"/>
        <s v="Release Planning"/>
      </sharedItems>
    </cacheField>
    <cacheField name="Trecho - Cerimônia" numFmtId="0">
      <sharedItems>
        <s v="A 2-week Sprint is close to the end (let's say 80% of the time has passed by)"/>
        <s v="-"/>
        <s v="before the story can be put in the sprint backlog... add them to the sprint backlog"/>
        <s v=" In a two week sprint, a single programmer can work for 80 hours"/>
        <s v="can focus their attention to get their part done by the end of the sprint."/>
        <s v="so there is no velocity that can be used for further sprint planning."/>
        <s v="we receive a solution statement on our backlog, they are eager to jump right in and work on it."/>
        <s v="We currently think of design as a separate task and break it out as a separate user story with estimated points."/>
        <s v=" the volume of change that becomes necessary while implementing the stories. "/>
        <s v="In Agile terms these kind of functionality documentation is the Backlog."/>
        <s v=" they were unable to estimate the user stories in the sprint planning meetings."/>
        <s v="I am trying to build a sprint plan for the development team"/>
        <s v=" When estimating the first of those stories, the team decided that the function call mechanism would have been an engaging but not completely obvious task"/>
        <s v="Giving this sentence, project managers expect me as a developer to commit to an estimate and develop the story. "/>
        <s v="...fail sprints... before the end of the Sprint. "/>
        <s v="after trying planning poker for a while...  team delivers (on average) the same amount of subjective story points per iteration"/>
        <s v="greater than the sprint"/>
        <s v="not wait for the next 2 week sprint.[...] committing to even a one week sprint "/>
        <s v="run a couple of sprints"/>
        <s v="As for acceptance criteria I have come up with following:"/>
        <s v=" if you don't have screen mockups and clear specifications you can't really estimate the work during Sprint Planning."/>
        <s v="At the planning phase, identify outliers after the task hour break-down process and look at these further. "/>
        <s v="Next week will be the first Sprint Planning Meeting and I know the user stories are like"/>
        <s v="If it is covered during sprint planning meeting then the meeting will take more than a day to discuss everything."/>
        <s v="Breaking relationships also helps better sprint cycles because one story can't stall the whole sprint."/>
        <s v="while grooming/planning our user stories"/>
        <s v="Or accept this user story as &quot;high-risk&quot; with only a semi-commitment during Sprint Planning?"/>
        <s v="I have a sprint with 60 user stories... at the end of the last 2 sprints"/>
        <s v=" she needed estimates so she could plan the sprints and get a costing for the project."/>
        <s v="when planning the sprint there is a high chance that one side with have 75% of the workload "/>
      </sharedItems>
    </cacheField>
    <cacheField name="-&gt; Papel Código Final" numFmtId="0">
      <sharedItems>
        <s v="Not mentioned"/>
        <s v="Team"/>
        <s v="Product owner"/>
        <s v="Scrum Master"/>
      </sharedItems>
    </cacheField>
    <cacheField name="Trecho - Papel" numFmtId="0">
      <sharedItems>
        <s v="-"/>
        <s v="&quot;I believe that as a software engineer part of my job is to understand the user's needs&quot;"/>
        <s v="&quot;The developer is expected to fill in the blanks at his own discretion by the virtue of XP developers being designers and analysts at the same time.&quot;"/>
        <s v="&quot;So I would like to write feature set for my coming product in a way they are actually relevant and prioritise them accordingly to reach my goal as reliably as possible.&quot;"/>
        <s v="&quot;I have coached my team&quot;"/>
        <s v="&quot;I am the scrum master for one of the products in a software development company.&quot;"/>
        <s v="&quot;As the development manager...&quot;"/>
        <s v="&quot;The team, together with the PO, put on the wall a certain number of user stories regarding the various libraries for the IDE user&quot;"/>
        <s v="&quot;Giving this sentence, project managers expect me as a developer to commit to an estimate and develop the story.&quot;"/>
        <s v="&quot;How can I determine the monetary cost of a user story point in a given team?&quot;"/>
        <s v="&quot;We are a small team of 4 software developers&quot;"/>
        <s v="&quot;...so I would like to help refine our methods to make better use of it.&quot; trecho que mais se aproxima do papel (TL/desenvolvedor)"/>
        <s v="&quot;We are a small team of 6 developers.&quot;"/>
        <s v="&quot;I am a developer in the scrum master role and need to get the whole team&quot;"/>
        <s v="&quot;me as a leader&quot;"/>
        <s v="&quot;Our BA then asked us to estimate these stories. I went, hang on.&quot;"/>
      </sharedItems>
    </cacheField>
    <cacheField name="-&gt; Efeito Código Final" numFmtId="0">
      <sharedItems>
        <s v="Quality assurance and validation issues"/>
        <s v="Delays/blockages due to tasks or dependencies"/>
        <s v="Workflow disruption and delivery blockage"/>
        <s v="Estimation uncertainty and inaccuracy"/>
        <s v="Organizational and backlog management issues"/>
        <s v="Lack of independence and value delivery issues"/>
        <s v="Loss of autonomy and professional degradation"/>
        <s v="Misalignment with goals and prioritization"/>
        <s v="Communication and collaboration issues"/>
        <s v="Difficulty in decomposition and task structuring"/>
        <s v="Sprint instability and planning issues"/>
        <s v="Methodological inconsistency"/>
        <s v="Rework and future pressure"/>
      </sharedItems>
    </cacheField>
    <cacheField name="-&gt; Efeito: Categorias" numFmtId="0">
      <sharedItems>
        <s v="Structural &amp; Quality Effects"/>
        <s v="Process &amp; Workflow Effects"/>
        <s v="Planning &amp; Estimation Effects"/>
        <s v="Organizational &amp; Management Effects"/>
        <s v="Product &amp; Value Effects"/>
        <s v="Human &amp; Social Effects"/>
      </sharedItems>
    </cacheField>
    <cacheField name="Trecho - Efeito" numFmtId="0">
      <sharedItems>
        <s v="should I mark them as completed, or not? "/>
        <s v="there seems to be a lot of time wasted [...] we get increasingly blocked"/>
        <s v=" the devs wouldn't be able to deliver their side of the story. I feel like this is more a waterfall than an agile approach."/>
        <s v="What would be the disadvantage of using such a scheme for estimating tickets?"/>
        <s v="Then comes the chaos. "/>
        <s v="They are a new team so there is no velocity... we need to estimate them."/>
        <s v="I am just super confused about this. [...]  I want to be as agile as possible but it seems like I am running into walls."/>
        <s v="I want to be able to bring up the possible trade-offs ahead of time so they won't consider the approach a failure when they are faced with the drawbacks."/>
        <s v="within our organization structure, I have zero contact with the user"/>
        <s v="he &quot;development user stories&quot; then have these dependencies on other stories "/>
        <s v="noticing added complexities emerge than initially anticipated... considered as deviation from the initial estimations."/>
        <s v=" If you don't have lots of experience with user stories that may hinder your product because they distract you from the actual goal."/>
        <s v="very hard to convey enough meaning...regardless of whether they know enough to estimate."/>
        <s v=" summaries are sometimes little bit misleading... I don't know how to go about point 2."/>
        <s v="it can get really difficult to relate tasks and user stories."/>
        <s v="I'm struggling on how to lay them out"/>
        <s v="Sometimes it took multiple sprints to complete a user story."/>
        <s v="managing them someplace else means I will either duplicate the VersionOne information in the other system, or I will have two systems tracking the development tasks."/>
        <s v="If we build just story 1 it seems not to be valuable. If we build just story 2... provides no value."/>
        <s v="his immediately raised up the total points for the product of 20 points! [...] those 20 points feel so awfully unrealistic!"/>
        <s v=" They assume that agile development means that sentences like this are all they have to provide to developers."/>
        <s v="This has led us to fail sprints because unit testing ends up taking so long that the stories don't get finished before the end of the Sprint."/>
        <s v="Releasing the product with only US1 would provide the capability to design card views that are useless without US2."/>
        <s v="We won't know our velocity for a while.  how much a given project would cost."/>
        <s v="the task is just too big [...] try to break the user story further to make it easier to estimate it's complexity, but then find that we cannot since the story is the task."/>
        <s v="we would need to implement all of the OAuth behaviour...most of the JS framework... all the database structure... there doesn't seem to be a way to break this down."/>
        <s v="effort estimation could be way off [...] breaking this story in smaller parts is making an &quot;horizontal slice&quot; of the app and not a &quot;vertical one&quot; as would be better. "/>
        <s v="because so much of what they do is unknown in advance...  new variables / methods / software / hardware / even the fundamental problem may change "/>
        <s v="Epics have normally no acceptance criteria and are quite vague so the team might get a bit puzzled."/>
        <s v="But I still have difficulties understanding how I exactly should use a ticket system"/>
        <s v="I have tried to google possible acceptance criteria, but had no much success. Would you say that the above user story and the acceptance criteria are adequate?"/>
        <s v="it goes somewhat against Scrum principles."/>
        <s v=" it seems to me that if sprint points and task hours don't correlate well, then we must be doing a bad job at estimating either one or both of these."/>
        <s v="I fear and expect a lot of rework [...]  refactoring from design A to design B is more expensive"/>
        <s v=" I cannot do the validation until the backend endpoint and the frontend modal window has been completed...we need the database schema...  which acts as a dependency for the entire project."/>
        <s v="How to keep all developers informed about all user stories? "/>
        <s v="Providing these instead of benefits makes it easy to see why certain user story is more important than the other? So it helps prioritisation."/>
        <s v="This alienates our QA members as they don't really have complete understanding of what to test."/>
        <s v="I assume that if the issue is not clarified the 20-point faction will not commit to the user story if it is (in their eyes) under-estimated."/>
        <s v="this can put my team, as well as me as a leader, under pressure."/>
        <s v="a story is bigger than you thought so blows out"/>
        <s v="one side with have 75% of the workload and the other almost nothing to do. And if we size for only one of the side, we ensure that one side will have the right amount for the sprint but the other side might not. "/>
      </sharedItems>
    </cacheField>
    <cacheField name="-&gt; Possíveis Soluções - Código Final" numFmtId="0">
      <sharedItems containsBlank="1">
        <s v="1. QA must be complete to call a user story done&#10;2. 2. QA must be part of DoD to mark stories as done.&#10;3. bring in QA within your sprint and not as a separate stage"/>
        <m/>
        <s v="1. point value determined by environmental factors and team, not time or cost.&#10;2. Leverage past stories as reference points for new estimates.                                                                                                                 "/>
        <s v="1. Use story points and velocity for team-level planning, not external forecasting                                                                                                                                                                             "/>
        <s v="1. Evaluate sub-workflows to determine appropriate approaches for architecture-oriented work"/>
        <s v="1. don't convert story points into money&#10;2. story points do not convert to time&#10;3. estimate how long it would take to do that particular chunk of work&#10;4. Use story points as relative estimates, not as time or cost equivalents.                             "/>
        <s v="1. whole team and stakeholders agree on what estimating techniques measure&#10;&#10;2. measure time directly&#10;&#10;3. standup-to-standup timebox is a process control&#10;&#10;4. story points are an intermediate value to estimate capacity&#10;&#10;5. time estimations give a false feel"/>
        <s v="1. biggest value to the user in the shortest time&#10;2. not everything in the backlog has to be a User Story&#10;3. backlog items should be close-ended&#10;4. Prioritize early value delivery over complete or perfect solutions                                         "/>
        <s v="1. Different purposes explain the poor correlation.&#10;&#10;2. 2: Assigning tasks based on the developer's skill level."/>
        <s v="1. Manage estimation uncertainty by removing outliers, decomposing disputed tasks, and adapting backlog dynamically                                                                                                                                            "/>
        <s v="1. Dev and testing overlap challenges story completion within a sprint.                                                                                                                                                                                        "/>
      </sharedItems>
    </cacheField>
    <cacheField name="Possíveis soluções - Consenso" numFmtId="0">
      <sharedItems>
        <s v="1 - The direct answer for almost all teams is that QA must be complete to call a user story done.&#10;&#10;2 - So, the more complete answer to your question would be: If QA tests must run and pass before your product can be shipped to end users, then it should be"/>
        <s v="1. The solution was simple. Stop planning around epics and instead plan at the task or story level. At this finer level of detail it is easier for the team to balance its work. For example, they would often mix the start of a new epic with the end of the "/>
        <s v="1 - I think there is a misunderstanding here, which is that in Agile there isn't any &quot;upfront anything&quot; and that the current iteration is the only place that things must happen. If this misunderstanding exists, people try to plan and do work only for the "/>
        <s v="1 - The common error is to assign a time or cost value to a point, but in reality the value is determined by environmental factors and teams actually doing the work.&#10;&#10;2 - So, if you are estimating a group of stories based on previously completed stories.."/>
        <s v="1 - In your case, I think both front-end and back-end should be a single story.&#10;&#10;2 - Divide it into tasks. The developers own their different tasks.&#10;&#10;3 - Make sure you include QA-assigned tasks in the same story - without validation a story is useless.&#10;&#10;4"/>
        <s v="1 - Using Story Points and Velocity is not for management to plan on when a project is going to be done. They aren't for anyone outside of the team. These concepts exist to help a team plan their next Sprint, to provide a reasonable sanity check that they"/>
        <s v="1 - The goal of scrum is to enable the team to be self-directed. There is no universal right way to write stories and tasks. The goal is for the team to work together to accomplish a task.&#10;&#10;2 - Since it is the team that has to do the work, the tasks that "/>
        <s v="1 - I think it's important to distinguish between slicing by individual responsibilities vs. slicing by team responsibilities. I'll focus this answer mainly on slicing teams.&#10;&#10;2. In the short term, and for a team new to this kind of development, the main "/>
        <s v="1 - What I have found in over 13 years of software engineering is that I need to talk directly to the customers and sometimes even end users (often in software these are separate entities).&#10;&#10;2 - I would recommend talking to your management and argue that "/>
        <s v="1 - Design work is done in sprint&#10;&#10;2 - Design as separate stories&#10;&#10;3 - Design is part of our definition of ready&#10;&#10;4 - ...I tend to encourage teams to worry about the development effort, rather than also including analysis, UI design, testing, etc.&#10;&#10;5 - Wi"/>
        <s v="1 - The trick is to fill in those blanks as early as possible in the process of development.&#10;&#10;2 - First, ask questions. Where the answers you get seem unsatisfactory, create a prototype. Show the customer what they're asking for, and let them tell you how"/>
        <s v="1 - In all cases, we have a technique for preventing all the bad/unusable from overwhelming the good. It's called &quot;Quality Assurance&quot;.&#10;&#10;2 - It turns out that it's hard. You can't get a &quot;great&quot; plan without &quot;great&quot; user stories. And you can't get &quot;great&quot; u"/>
        <s v="1 - For the example of a change to a RESTful API, I would write something like the following:&#10;&#10;Scenario: Registered web client calls Foo(int id) method to get a list of Bars.&#10;GIVEN: The client is a registered user of the API&#10;WHEN: The client calls the Foo"/>
        <s v="1 - Use job stories instead.&#10;&#10;2 - You shouldn't expect to understand everything from the summary.&#10;&#10;3 - Try to see summaries as &quot;pointers&quot;. Your team should have a session to review top backlog items (to get to know the actual &quot;content&quot;). Next time people "/>
        <s v="1 - A user story is not the same as a requirement.&#10;&#10;2 - What I used to do, and this was a practice my team adopted, was to break down user stories into tasks.&#10;&#10;3 - Our approach was to keep user stories focused on what the request was, why it was made, and"/>
        <s v="1. Measure which sub-workflow benefits most from a scalable cloud service. While 'storymaps' is a great tool for agile projects, in my opinion it is not suitable for your type of project. A storymap is workflow/feature oriented, your example tasks are com"/>
        <s v="1 - You can increase the accuracy of your estimates with increased Product Owner participation, training and documentation stories, and story spikes.&#10;&#10; 2 - All Stories MUST Be Estimated&#10;&#10;3 - The estimate should be as accurate as you can make it within the"/>
        <s v="1. In Scrum, all work chargeable to the project belongs on the Product Backlog. This includes bugs, training, and research in addition to features. While it is a widely-accepted practice to formulate user stories for placement on the Product Backlog, Scru"/>
        <s v="1 - Each story should be valuable independently. But don't get too hung up on it.&#10;-&#10;In your case I would specify the auditing requirement in two parts.&#10;2 - As a stand alone story for the person who needs to look at the audit data:&#10;&#10;&quot;As an Auditor I can re"/>
        <s v="1. Split the tasks into three groups: (1) Common tasks needed only once, (2) Common repeated tasks, and (3) Specific tasks. Estimate each task separately, where common tasks are estimated only once. When presenting to the customer, give two estimates for "/>
        <s v="1. What you are calling a user story, I see as at least six: one bare-bones search, and one for each of your bullet points. By all means, make enough plans to avoid painting yourself into a corner that's going to be expensive to get out of, but the whole "/>
        <s v="1 - But now you need to deliver production quality software. And that takes longer than prototypes. There is little you can do. Improve your estimations to take that into account so you don't fail sprints.&#10;&#10;2 - But if your team is not producing enough at "/>
        <s v="1. The best approach is to keep the stories separate. To demonstrate that users can use a 'card view' to browse the database only requires that some form of card view is available. Thus you can demonstrate US2 with one or two hard-coded card views and inf"/>
        <s v="1 - You don't convert story points into money. The cost of a software development effort is a function of the team for a period of time, perhaps considering resources if you forward those costs along. &#10;&#10;2 - However, story points do not convert to time, so"/>
        <s v="1- To be successful at agile estimation, make sure that the whole team and the stakeholders within the organization all agree on what your estimating techniques actually measure.&#10;&#10;2 - If you're only going through the motions of treating relative-sizing as"/>
        <s v="1 - So the point of vertical slicing is to take something like the database and say precisely, “I do not need the whole database right now.” So let’s validate your claim: do you need the database?&#10;&#10;2 - Let us be clear about what a database does: it distri"/>
        <s v="1 - Now, to break this down, I want to ask two questions:&#10;&#10;    What delivers the biggest value to the user in the shortest time (in traditional project management this was called weighted shortest job first, or WSJF)&#10;    What are the riskiest unknowns in "/>
        <s v="1 - Scrum, and fixed length sprints may not be the answer. Maybe the focus should be on the ability to groom stories and develop a backlog (when feasible) and to limit work in progress, so that the team members aren't overwhelmed. In such a case, Kanban m"/>
        <s v="1 - Epics are much larger. They are collections of stories. You don't work on an epic, you split that epic into stories and work on those stories. The epic will then simply have the points of all its stories combined.&#10;&#10;2 - The way you find out how many st"/>
        <s v="1 - What is important is to maintain the relationship between the task and the parent user story as the story conveys the value to the customer that underlying tasks should enable upon implementation.&#10;&#10;2 - Finally, consider that issue tracking and task tr"/>
        <s v="1 - I think that your acceptance criteria are a bit to specific on the implementation details. For example, “Main page” has to fit, then “Log in page” must fit, etc.&#10;&#10;2 - Your acceptance criteria should probably capture general rules that apply no matter "/>
        <s v="1 - Value isn't measured only in lines of shippable code.&#10;&#10;2 - Don't get hung up on scrum dogma. Scrum is there to make you more efficient. If doing a UX story one sprint before you implement the UI helps you deliver better software, do it.&#10;&#10;3 - A basic r"/>
        <s v="1. They don't really collerate well because as you said, they are used for different purposes.&#10;&#10;2.   &quot;Also, you know your devs and there skill level, so if you have a junior dev, dont give him the 3's, but the 1's so that he does not drown. .&quot;"/>
        <s v="1 - Rework done under iterative approach (which may have user stories as its part) is still rework. But the approach enables you to select rework which brings the most value, deliver it faster and get feedback faster."/>
        <s v="1 - First, don't break down the item. In this case, the work item (the story, ticket, whatever) represents the minimum valuable delivery of the work and can be estimated by the team and worked on.&#10;&#10;2 - Second, break down the item into smaller pieces, each"/>
        <s v="1.  you can demonstrate why it is good to share or switch user stories (until it doesn't risk the delivery dates). Take the last Sprint as an example, and pick one team member, and ask the team what would have happened if got removed from the team in the "/>
        <s v="1 - Write user stories for reliability, security, capacity or any other quality that is deemed important.&#10;&#10;2 - I watched the agile team here at work create activity diagrams (flow charts) of the business process. These diagrams were used to analyze the fe"/>
        <s v="1 - There is a concept of &quot;steel thread&quot; that we used back at one of my previous jobs where the user story itself is a specific requirement that has a very particular expectation. Anything outside of that particular expectation should be its own user stor"/>
        <s v="1. (1) Discard outliers, then calculate the mean. This is usually my preferred method when a story has been properly decomposed.&#10;(2) Calculate the average, including any outliers. (3) Split out contentious tasks into separate-but-dependent stories that ca"/>
        <s v="1 - The first is to work on something else, something on which you are not blocked and don't need to wait for answers.&#10;&#10;2 - The second is for people to stay idle while they expect an answer. Basically the story is blocked and you just wait until you get t"/>
        <s v="1 - Some say that in an ideal world the team will do all of that in a sprint -- but only enough UI design for that sprint. Others are more pragmatic and say it can't be done, and will do design in one sprint and coding and testing in another, or design an"/>
        <s v="1. It is impossible for testers and devs to work on the same story in the same sprint if they are committed to finishing the story. If you must do it then you will have to break a rule. Have the testers work on v2 of the story, have the devs commit to tec"/>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263" sheet="Análise RQ2 Soluções"/>
  </cacheSource>
  <cacheFields>
    <cacheField name="ID" numFmtId="0">
      <sharedItems containsSemiMixedTypes="0" containsString="0" containsNumber="1" containsInteger="1">
        <n v="31614.0"/>
        <n v="323107.0"/>
        <n v="194180.0"/>
        <n v="240325.0"/>
        <n v="340712.0"/>
        <n v="31666.0"/>
        <n v="25714.0"/>
        <n v="11247.0"/>
        <n v="403583.0"/>
        <n v="41750.0"/>
        <n v="14189.0"/>
        <n v="396625.0"/>
        <n v="26673.0"/>
        <n v="22001.0"/>
        <n v="232488.0"/>
        <n v="354302.0"/>
        <n v="127213.0"/>
        <n v="231273.0"/>
        <n v="7953.0"/>
        <n v="34041.0"/>
        <n v="392860.0"/>
        <n v="3017.0"/>
        <n v="118123.0"/>
        <n v="228110.0"/>
        <n v="398317.0"/>
        <n v="30061.0"/>
        <n v="147937.0"/>
        <n v="20827.0"/>
        <n v="12641.0"/>
        <n v="8679.0"/>
        <n v="23855.0"/>
        <n v="9878.0"/>
        <n v="234758.0"/>
        <n v="315641.0"/>
        <n v="27494.0"/>
        <n v="25637.0"/>
        <n v="127300.0"/>
        <n v="8410.0"/>
        <n v="18301.0"/>
        <n v="560.0"/>
        <n v="25196.0"/>
      </sharedItems>
    </cacheField>
    <cacheField name="-&gt;Problema código final" numFmtId="0">
      <sharedItems>
        <s v="UX/UI integration challenges around user stories"/>
        <s v="Process/workflow issues around user stories"/>
        <s v="Lack of clarity and completeness in user stories"/>
        <s v="User stories framed as solutions or technical tasks"/>
        <s v="Difficulties in estimating user stories"/>
        <s v="User stories lacking user value orientation"/>
        <s v="Poor decomposition and granularity of user stories"/>
        <s v="Poorly defined or missing acceptance criteria"/>
        <s v="Rework and delivery issues caused by user story problems"/>
        <s v="Lack of product/domain knowledge"/>
        <s v="User story writing improvement need"/>
      </sharedItems>
    </cacheField>
    <cacheField name="-&gt;Tipo de Problema" numFmtId="0">
      <sharedItems>
        <s v="User Story related Issues"/>
        <s v="User Story Issues"/>
      </sharedItems>
    </cacheField>
    <cacheField name="-&gt; Metodologia código final" numFmtId="0">
      <sharedItems>
        <s v="Scrum"/>
        <s v="XP"/>
        <s v="Lean Start-up"/>
        <s v="Not mentioned"/>
        <s v="Kanban"/>
      </sharedItems>
    </cacheField>
    <cacheField name="-&gt; Cerimônia Código Final" numFmtId="0">
      <sharedItems>
        <s v="Sprint Planning"/>
        <s v="Not mentioned"/>
        <s v="Sprint"/>
        <s v="Planning"/>
        <s v="Backlog refinament"/>
        <s v="Release Planning"/>
      </sharedItems>
    </cacheField>
    <cacheField name="-&gt; Papel Código Final" numFmtId="0">
      <sharedItems>
        <s v="Not mentioned"/>
        <s v="Team"/>
        <s v="Product owner"/>
        <s v="Scrum Master"/>
      </sharedItems>
    </cacheField>
    <cacheField name="-&gt; Efeito Código Final" numFmtId="0">
      <sharedItems>
        <s v="Workflow disruption and delivery blockage"/>
        <s v="Organizational and backlog management issues"/>
        <s v="Estimation uncertainty and inaccuracy"/>
        <s v="Difficulty in decomposition and task structuring"/>
        <s v="Sprint instability and planning issues"/>
        <s v="Lack of independence and value delivery issues"/>
        <s v="Methodological inconsistency"/>
        <s v="Communication and collaboration issues"/>
        <s v="Misalignment with goals and prioritization"/>
        <s v="Loss of autonomy and professional degradation"/>
        <s v="Quality assurance and validation issues"/>
        <s v="Rework and future pressure"/>
        <s v="Delays/blockages due to tasks or dependencies"/>
      </sharedItems>
    </cacheField>
    <cacheField name="-&gt; Efeito: Categorias" numFmtId="0">
      <sharedItems>
        <s v="Process &amp; Workflow Effects"/>
        <s v="Organizational &amp; Management Effects"/>
        <s v="Planning &amp; Estimation Effects"/>
        <s v="Structural &amp; Quality Effects"/>
        <s v="Product &amp; Value Effects"/>
        <s v="Human &amp; Social Effects"/>
      </sharedItems>
    </cacheField>
    <cacheField name="-&gt; Possíveis Soluções - Código Final" numFmtId="0">
      <sharedItems>
        <s v="8. Full story completion in one sprint is not always required."/>
        <s v="3. figuring out what works best for your team, product, and environment."/>
        <s v="5. agile practices should be adapted to the needs and the culture"/>
        <s v="1. scrum enabling self-directed team with no universal right way to write stories."/>
        <s v="5. splitting story based on team size, team separation, or sprint differences."/>
        <s v="2. tasks must work for the team doing the work."/>
        <s v="1. Evaluate sub-workflows to determine appropriate approaches for architecture-oriented work"/>
        <s v="2. Add team members when existing capacity cannot meet quality expectations."/>
        <s v="10. show new versions to key stakeholders as often as you can"/>
        <s v="1. point value determined by environmental factors and team, not time or cost."/>
        <s v="3. Avoid cost-based estimation for stories"/>
        <s v=" 4. Avoid using monetary units to estimate story complexity or time."/>
        <s v="1. don't convert story points into money"/>
        <s v="2. story points do not convert to time"/>
        <s v="4. Use story points as relative estimates, not as time or cost equivalents. 5. Keep time and cost estimates separate from story point estimation."/>
        <s v="2. talking with PO and customers about architecture instead of just list of stories."/>
        <s v="5. Delivery means ready to ship, not necessarily released, release is driven by business value."/>
        <s v="1. Use story points and velocity for team-level planning, not external forecasting "/>
        <s v="2. Story points and velocity support sprint planning, not management deadlines."/>
        <s v="3. Commit to Agile principles over hybrid traditional approaches"/>
        <s v="4. Avoid mixing Agile with traditional methods; embrace empiricism and adaptability."/>
        <s v="10. Align requirement readiness with team collaboration before sprint planning."/>
        <s v="4. Select solution complexity based on actual user needs, not assumptions"/>
        <s v="1. whole team and stakeholders agree on what estimating techniques measure"/>
        <s v="5. user stories aligned with user needs with clear value statement."/>
        <s v="8. think about sprint duration"/>
        <s v="6. goals of testing are more closely aligned to reducing technical debt"/>
        <s v="8. budget in more time for testing"/>
        <s v="7. Agile is to be flexible"/>
        <s v="7- 7 - agile principles applied incrementally"/>
        <s v="7. understand the needs of the story"/>
        <s v="13. stop when it's good enough for now"/>
        <s v="4. inspecting and adapting frequently if current way of working delivers value."/>
        <s v="10. Adopt a pragmatic approach."/>
        <s v="2. not getting hung up on scrum dogma if current approach delivers better software."/>
        <s v="1. Quality Assurance filters out bad/unusable results. "/>
        <s v="2. great user stories require Quality Assurance and definition of greatness."/>
        <s v="3. assuring user stories meet quality standards before estimating."/>
        <s v="4. keep asking questions until fully understanding what customer wants."/>
        <s v="2. retrospective to determine team bus factor."/>
        <s v="6. one person owning story and responsible for ensuring all parts are working together."/>
        <s v="4. estimating common tasks only once."/>
        <s v="1. acceptance criteria are a bit too specific on implementation details"/>
        <s v="8. misconception that a story should be fully designed, developed and tested in a single sprint"/>
        <s v="11. misusing scrum by filling in mechanics for existing design work."/>
        <s v="2. Use only the required functionality instead of full systems. "/>
        <s v="10. mapping is dangerous"/>
        <s v="5. time estimations give a false feeling of safety"/>
        <s v="9. losing flexibility by fixing scope for next sprint before it starts."/>
        <s v="1. don't break down the item"/>
        <s v="3. Avoid unnecessary databases by using simpler storage solutions when sufficient"/>
        <s v="3. Do not use a database when simpler alternatives suffice"/>
        <s v="5. Avoid unnecessary complexity by implementing only required permissions."/>
        <s v="6. Pipelining UX and development creates dependencies, waste, and reduces collaboration and value delivery."/>
        <s v="3. designer doesn't become a bottleneck"/>
        <s v="4. focusing on development effort rather than analysis, UI design, and testing."/>
        <s v="2 - break down user stories into tasks"/>
        <s v="4. breaking use-case into smaller end-to-end features for quicker feedback."/>
        <s v="9. Break down work into independent, enabling increments."/>
        <s v="1. value not measured only in lines of shippable code."/>
        <s v="1 - user story is not the same as a requirement"/>
        <s v="1. Different purposes explain the poor correlation."/>
        <s v="1. fill in those blanks as early as possible"/>
        <s v="2. Clarify requirements through questioning and rapid prototyping"/>
        <s v="1. distinguishing between slicing by individual vs team responsibilities."/>
        <s v="9. Clarify vague stories by explicitly stating the user benefit."/>
        <s v="1. front-end and back-end as a single story."/>
        <s v="3. estimate how long it would take to do that particular chunk of work"/>
        <s v="2. 2: Assigning tasks based on the developer's skill level."/>
        <s v="7. inspecting and adapting frequently while addressing dysfunctions."/>
        <s v="7. convert big story to an epic"/>
        <s v="11. Story is too big, you may also convert it to an Epic and add Stories to them."/>
        <s v="2. stand alone story for the person who needs to look at the audit data"/>
        <s v="6. apply the same measures you use when developing the code"/>
        <s v="3. split large work items into finer details"/>
        <s v="3. keep the stories as small as possible"/>
        <s v="6. splitting epics into smaller stories for better estimation."/>
        <s v="1. breaking large user story into smaller stories delivering minimum value quickly."/>
        <s v="2. breaking down stories with 8 or more points into smaller stories."/>
        <s v="14. break it down into smaller pieces"/>
        <s v="12. split your work into parts and implement in iterations"/>
        <s v="1. Iterative approach prioritizes high-value rework and enables faster delivery and feedback"/>
        <s v="2. break down the item into smaller pieces"/>
        <s v="6. estimating time only after accepting story into sprint.."/>
        <s v="6. delay creating the database as long as possible"/>
        <s v="3. defining clear exit criteria for user stories."/>
        <s v="9. never calling story done until team agrees including testing."/>
        <s v="2. capture general rules that apply no matter the device"/>
        <s v="10. clear definition of DONE with decoupled presentation layer"/>
        <s v="8. writing high-level project goals beforehand."/>
        <s v="10. defining what is &quot;ready&quot; for sprint planning"/>
        <s v="3. application needs to be responsive"/>
        <s v="1. Avoid overbuilding by delivering only what is needed through vertical slices. "/>
        <s v="2. delivering small vertical slices of end-user value across architecture layers."/>
        <s v="2. issue tracking and task tracking as distinct activities."/>
        <s v="6. story is NOT the task"/>
        <s v="3. non functional requirement/DoD on any other stories"/>
        <s v="5. full-stack developers enabling story execution by one person without pipelining."/>
        <s v="2. full-stack developers as most efficient way to work vertically with pair programming across layers."/>
        <s v="13. devs to ask questions about parts of the design"/>
        <s v="9. developers also need to ask questions"/>
        <s v="10. Developers must ask clarifying questions to understand requirements before implementation."/>
        <s v="2. all stories must be estimated."/>
        <s v="3. scrum team must have all skills needed to create potentially releasable product."/>
        <s v="1. each story should be valuable independently"/>
        <s v="3. having a good description of the tasks"/>
        <s v="12. checking if user story leads to meaningful and testable requirements."/>
        <s v="11. Stop writing value-less goals."/>
        <s v="10. UX stories providing value to development team rather than final user."/>
        <s v="2. no invisible work - all non-feature stories managed from Product Backlog."/>
        <s v="3. working through project manager to get in meetings with customer to discuss requirements."/>
        <s v="3. lean towards breaking it down"/>
        <s v="3. estimates only need to be consistent over time, not necessarily accurate."/>
        <s v="5. Prioritize customer-relevant details or avoid unnecessary technical specifics."/>
        <s v="7. Keep stories focused on business/user value, not development tasks."/>
        <s v="4 - avoid shortcuts through the process"/>
        <s v="6. tolerating pipelining initially while building trust through pair programming across layers."/>
        <s v="3. backlog items should be close-ended"/>
        <s v="4. Prioritize early value delivery over complete or perfect solutions"/>
        <s v="9. better communication and training for reasonable deadlines."/>
        <s v="10. sprint planning meetings on video for better communication."/>
        <s v="1. Dev and testing overlap challenges story completion within a sprint."/>
        <s v="1. increasing estimate accuracy with PO participation, training, documentation, and spikes."/>
        <s v="1. improve your estimations to take that into account"/>
        <s v="3. estimates as accurate as possible within sprint planning time-box."/>
        <s v="1. demonstrating value of sharing user stories by simulating team member removal."/>
        <s v="8. focus on the minimum viable"/>
        <s v="15. practicing requirement engineering to improve over time."/>
        <s v="7. Train PMs that vague stories lead to higher estimates and rework."/>
        <s v="8. good client services department knowing product and client."/>
        <s v="5 5 - improve understanding of differences between requirements and user stories"/>
        <s v="11. stories with clear list of testable acceptance criteria."/>
        <s v="4. bad user stories can be reworked to improve quality."/>
        <s v="2. Well-specified stories enable developers to complete and validate work independently."/>
        <s v="3. design is part of definition of ready."/>
        <s v="3. including QA-assigned tasks in the same story."/>
        <s v="11. Consider the UX/UI designer as part of the SCRUM team"/>
        <s v="4. estimates should include uncertainty."/>
        <s v="1. talking directly to customers and end users."/>
        <s v="4. get user feedback even more early"/>
        <s v="4. minimizing lag time between development and client feedback through communication and training."/>
        <s v="11. collect feedback early and often"/>
        <s v="3. work on getting your customer more involved"/>
        <s v="8 8. do not eat the entire elephant in one bite"/>
        <s v="9. Break down large features into incremental, deliverable pieces."/>
        <s v="1. design work done in sprint."/>
        <s v="1. QA must be complete to call a user story done"/>
        <s v="2. 2. QA must be part of DoD to mark stories as done."/>
        <s v="3. bring in QA within your sprint and not as a separate stage"/>
        <s v="5. UX/BA tasks are part of the sprint"/>
        <s v="2. getting involved earlier in the process after sales and with BAs."/>
        <s v="9. SME participating in sprint planning to validate implementation approach."/>
        <s v="1. keeping dependent stories separate and delivering potentially shippable product."/>
        <s v="6 6 - learning from sprints and retrospectives"/>
        <s v="3. Leverage diverse team skills by involving multiple members in each story"/>
        <s v="13. Unplanned backlog more than 12 to 18 months in advance."/>
        <s v="7. keep it limited in scope"/>
        <s v="8. user stories should not have a whole lot of detail"/>
        <s v="3 - user stories focused on what and why, not how"/>
        <s v="6. keeping things easy to change for lightweight pre-sprint analysis."/>
        <s v="4. keeping stories separate."/>
        <s v="1. maintaining relationship between task and parent user story to convey value to customer."/>
        <s v="13. treat user stories as abstract user requirements"/>
        <s v="1. all work including bugs, training, and research managed from Product Backlog to avoid hidden costs."/>
        <s v="3. adding dependency points to first story and noting order of dependent stories."/>
        <s v="10. Manage dependencies by linking backlog items to improve planning and scheduling"/>
        <s v="5. testable user stories with agreed success criteria."/>
        <s v="1. Manage estimation uncertainty by removing outliers, decomposing disputed tasks, and adapting backlog dynamically "/>
        <s v="2. Break down high-point stories to identify uncertainties and add research spikes"/>
        <s v="5. scheduling research story to build proof-of-concept before estimating."/>
        <s v="8. developing in isolation while logging technical debt and paying it back in hardening sprint."/>
        <s v="12. Consider the UX/UI designer as external to the SCRUM team"/>
        <s v="1. doing UI design, coding, and testing in same sprint or splitting across sprints."/>
        <s v="1. Focus on backlog refinement and limiting WIP to avoid team overload"/>
        <s v="1. Maintain progress by switching to unblocked work"/>
        <s v="4. try to avoid waste"/>
        <s v="7. continuous release planning and periodic backlog reviews."/>
        <s v="1. planning at task/story level instead of epic level to balance work and transition between epics."/>
        <s v="6. job of UX is to prepare those tasks for developers"/>
        <s v="5. Do not introduce features beyond the scope of the user story"/>
        <s v="9. make testing the focus"/>
        <s v="2. not everything in the backlog has to be a User Story"/>
        <s v="5. story too big to fit into a single iteration"/>
        <s v="9. iterate rapidly"/>
        <s v="7. good user stories are collaboratively written"/>
        <s v="5. direct and honest communication between development team and stakeholders."/>
        <s v="7. testing is not a necessary evil"/>
        <s v="6. discuss your concerns with your fellow developers"/>
        <s v="7. SME traveling to train entire team hands-on."/>
        <s v="8. key team members traveling for hands-on training with SMEs."/>
        <s v="8. taking a step back and reassessing."/>
        <s v="8. reassigning story ownership as each person finishes their part."/>
        <s v="5. testing as an expected and necessary cost of doing business"/>
        <s v="7. avoiding lengthy design discussions before implementing each story."/>
        <s v="3. independent stories can be released separately based on business value."/>
        <s v="4. understanding context before seeking clarification from business analyst."/>
        <s v="2. Treat negative acceptance tests as user stories."/>
        <s v="11. Do not estimate stories until critical ambiguities are resolved"/>
        <s v="11. Raise questions when requirements are incomplete before providing estimates."/>
        <s v="9. respect the time box"/>
        <s v="3. hiring more people gives you a chance to improve your processes"/>
        <s v="4. get your team to production size"/>
        <s v="2. design as separate stories."/>
        <s v="5. Dollars are suitable for estimating business value, not estimating effort."/>
        <s v="7. product owner and stakeholders calculating in dollars/money."/>
        <s v="5. Keep time and cost estimates separate from story point estimation."/>
        <s v="1. biggest value to the user in the shortest time"/>
        <s v="1. split that epic into stories and work on those stories"/>
        <s v="2. find out how many story points an epic has is by splitting it into stories"/>
        <s v="9. breaking UI/graphics into two stories: functionality first, design later."/>
        <s v="2. dividing story into tasks owned by different developers."/>
        <s v="7. dividing user stories into tasks among team members."/>
        <s v="6. splitting stories into small vertical slices."/>
        <s v="8. start with simple architectures"/>
        <s v="10. arranging stories hierarchically by functional areas."/>
        <s v="4. group stories beneath an Epic"/>
        <s v="1. splitting tasks into common once, common repeated, and specific for estimation."/>
        <s v="14. .splitting development group into separate agile teams by functional areas."/>
        <s v="14. broken down into tasks and sub tasks"/>
        <s v="15. childing tasks represent the real work"/>
        <s v=" 16. Break user stories into small tasks that reflect the actual implementation work"/>
        <s v="16. Create granular child tasks that clearly describe the work required."/>
        <s v="4. collective code ownership and pair programming to support vertical user stories."/>
        <s v="3. reformulating additional work items as user stories for Product Backlog insertion."/>
        <s v="1. Agile is not restricted to sprint-only planning or execution"/>
        <s v="1. misunderstanding that the current iteration is the only place things happen"/>
        <s v="1. use job stories instead"/>
        <s v="5. Define larger chunks (i.e. epic stories) story blocks instead of low-level stories from the start."/>
        <s v="3. Use planning poker to increase transparency, reduce uncertainty, and expose risks to stakeholders."/>
        <s v="4. discussing outlier estimates until reasonable compromise is reached."/>
        <s v="3. secondary structures helping mitigate drawbacks of vertical or horizontal slicing."/>
        <s v="14. Use cross-domain analogies to overcome creative or technical blocks"/>
        <s v="2. Track and categorize work to generate data for better planning and forecasting "/>
        <s v="6. choosing a pet feature to demonstrate success and gain leverage for future discussions."/>
        <s v="2. Use detailed task logging to understand effort distribution and improve team pacing."/>
        <s v="2. measure time directly"/>
        <s v="12. measure, collect data"/>
        <s v="10. help of an experienced Technical Project Manager to help explain how to shrink the stories"/>
        <s v="5. using spikes to reduce uncertainty."/>
        <s v="1. Prefer flow-based approaches (e.g., Kanban) over fixed sprints when appropriate. "/>
        <s v="2. Leverage past stories as reference points for new estimates. "/>
        <s v="3. creating GitHub milestones for features/user stories with associated issues for tasks."/>
        <s v="1. writing user stories for reliability, security, and capacity."/>
        <s v="9. pair programming to build confidence across team members."/>
        <s v="7. using patterns to slice large user stories into smaller vertical slices."/>
        <s v="2. using activity diagrams and PERT diagrams to analyze feature dependencies."/>
        <s v="4. relative sizing of items"/>
        <s v="5. put them in buckets of relative size"/>
        <s v="4. Use short cycles of practice and retrospectives to learn and refine the process."/>
        <s v="6. using 5-Whys technique to define root cause for estimation scheme."/>
        <s v="2. design/UI stories in one sprint and coding in the next."/>
        <s v="5. analysts and designers working a sprint ahead of developers."/>
        <s v="2. designer should work ahead of the developers"/>
        <s v="8. have clear coding and design standards, with weekly backlog grooming."/>
        <s v="3. narrative/project charter as starting place for identifying user stories."/>
        <s v="1. steel thread concept for specific user story requirements."/>
        <s v="4. story points are an intermediate value to estimate capacity"/>
        <s v="2. shouldn't expect to understand everything from the summary"/>
        <s v="3. see summaries as pointers"/>
        <s v="3. standup-to-standup timebox is a process control"/>
        <s v="6. creating training stories."/>
        <s v="9. mock-up or visual of some sort is essential"/>
      </sharedItems>
    </cacheField>
    <cacheField name="Solução Código Final" numFmtId="0">
      <sharedItems>
        <s v="Accepting multi-sprint story completion when necessary"/>
        <s v="Adapting Agile practices to context"/>
        <s v="Adapting Agile practices to team context"/>
        <s v="Adapting story splitting to team and sprint context"/>
        <s v="Adapting work structure to team needs"/>
        <s v="Adapting workflow for different work types"/>
        <s v="Adjusting team capacity"/>
        <s v="Adopting iterative development practices"/>
        <s v="Adopting relative estimation instead of time/cost-based estimation"/>
        <s v="Aligning architecture discussions with stakeholders"/>
        <s v="Aligning delivery with business-driven release"/>
        <s v="Aligning estimation practices with Agile principles"/>
        <s v="Aligning readiness through collaboration"/>
        <s v="Aligning solution complexity with actual user needs"/>
        <s v="Aligning stakeholders on estimation meaning and purpose"/>
        <s v="Aligning stories with user needs"/>
        <s v="Aligning story size with sprint duration"/>
        <s v="Aligning testing with technical debt reduction"/>
        <s v="Allocating sufficient time for testing"/>
        <s v="Applying Agile flexibility in UX/UI integration"/>
        <s v="Applying Agile principles incrementally"/>
        <s v="Applying consistent evaluation criteria"/>
        <s v="Applying incremental delivery mindset"/>
        <s v="Applying inspect-and-adapt"/>
        <s v="Applying pragmatic Agile practices"/>
        <s v="Applying quality assurance practices"/>
        <s v="Applying quality standards to user stories"/>
        <s v="Asking clarifying questions until customer needs are understood"/>
        <s v="Assessing team resilience"/>
        <s v="Assigning single ownership for integration"/>
        <s v="Avoiding duplicate estimation of shared work"/>
        <s v="Avoiding implementation-specific acceptance criteria"/>
        <s v="Avoiding misconception of full story completion within one sprint"/>
        <s v="Avoiding misuse of Scrum practices"/>
        <s v="Avoiding overbuilding by limiting scope"/>
        <s v="Avoiding overreliance on story mapping"/>
        <s v="Avoiding overreliance on time-based estimates"/>
        <s v="Avoiding rigid scope commitments"/>
        <s v="Avoiding unnecessary decomposition"/>
        <s v="Avoiding unnecessary technical complexity"/>
        <s v="Avoiding UX-development pipelining"/>
        <s v="Avoiding UX/UI bottlenecks"/>
        <s v="Balancing development with analysis, design, and testing"/>
        <s v="Breaking down user stories into tasks"/>
        <s v="Breaking use cases into smaller end-to-end features"/>
        <s v="Breaking work into independent enabling increments"/>
        <s v="Broadening definition of value"/>
        <s v="Clarifying distinction between user stories and requirements"/>
        <s v="Clarifying estimation purpose and interpretation"/>
        <s v="Clarifying requirements early"/>
        <s v="Clarifying requirements through questioning and prototyping"/>
        <s v="Clarifying slicing strategy and team responsibilities"/>
        <s v="Clarifying user value in stories"/>
        <s v="Combining front-end and back-end into end-to-end stories"/>
        <s v="Considering task-level time estimation alongside story-level estimation"/>
        <s v="Considering team skills in task assignment and estimation"/>
        <s v="Continuous improvement practices"/>
        <s v="Converting large stories into epics"/>
        <s v="Creating standalone value-driven stories"/>
        <s v="Decomposing large stories into smaller units"/>
        <s v="Decomposing large work items into finer-grained items"/>
        <s v="Decomposing user stories into smaller units"/>
        <s v="Decomposing UX/UI work into smaller pieces"/>
        <s v="Decomposing work and iterating incrementally"/>
        <s v="Decomposing work into smaller pieces"/>
        <s v="Deferring estimation until readiness"/>
        <s v="Deferring technical decisions until necessary"/>
        <s v="Defining clear acceptance criteria"/>
        <s v="Defining completion through team agreement and testing"/>
        <s v="Defining device-independent acceptance criteria"/>
        <s v="Defining DoD with decoupled presentation layer"/>
        <s v="Defining high-level goals upfront"/>
        <s v="Defining readiness criteria for UX/UI work"/>
        <s v="Defining responsive behavior in acceptance criteria"/>
        <s v="Delivering only necessary functionality through vertical slices"/>
        <s v="Delivering vertical slices of value"/>
        <s v="Distinguishing issue tracking from task tracking"/>
        <s v="Distinguishing user stories from tasks"/>
        <s v="Embedding non-functional requirements in DoD"/>
        <s v="Enabling vertical slicing through full-stack skills"/>
        <s v="Enabling vertical slicing through full-stack skills and pair programming"/>
        <s v="Encouraging developer clarification of design"/>
        <s v="Encouraging developers to ask clarifying questions"/>
        <s v="Enforcing consistent estimation practices"/>
        <s v="Ensuring cross-functional team skills"/>
        <s v="Ensuring independent value per story"/>
        <s v="Ensuring task clarity"/>
        <s v="Ensuring user stories are testable and meaningful"/>
        <s v="Ensuring user stories provide value"/>
        <s v="Ensuring UX stories deliver end-user value"/>
        <s v="Ensuring visibility of all work items"/>
        <s v="Facilitating customer access through project management"/>
        <s v="Favoring decomposition"/>
        <s v="Focusing on consistency over accuracy in estimation"/>
        <s v="Focusing on user-relevant details"/>
        <s v="Focusing stories on business/user value"/>
        <s v="Following disciplined Agile process"/>
        <s v="Gradually transitioning toward vertical slicing through trust-building practices"/>
        <s v="Improving backlog structuring practices"/>
        <s v="Improving communication and training"/>
        <s v="Improving communication in distributed teams"/>
        <s v="Improving coordination between development and testing"/>
        <s v="Improving domain knowledge through stakeholder involvement, training, and exploratory work"/>
        <s v="Improving estimation practices"/>
        <s v="Improving estimation practices within Agile constraints"/>
        <s v="Improving knowledge sharing"/>
        <s v="Improving requirement understanding"/>
        <s v="Improving requirements engineering practices"/>
        <s v="Improving stakeholder awareness and training"/>
        <s v="Improving stakeholder/domain knowledge"/>
        <s v="Improving understanding of Agile concepts"/>
        <s v="Improving user story quality through clear and testable acceptance criteria"/>
        <s v="Improving user story quality through refinement"/>
        <s v="Improving user story quality to support estimation"/>
        <s v="Including design in Definition of Ready"/>
        <s v="Including QA tasks within the same story"/>
        <s v="Including UX/UI designers in Scrum team"/>
        <s v="Incorporating uncertainty into estimation"/>
        <s v="Increasing direct customer and end-user communication"/>
        <s v="Increasing early stakeholder feedback"/>
        <s v="Increasing stakeholder feedback frequency"/>
        <s v="Increasing stakeholder involvement"/>
        <s v="Incremental delivery mindset"/>
        <s v="Incremental feature decomposition"/>
        <s v="Integrating design work within sprint"/>
        <s v="Integrating QA into Definition of Done"/>
        <s v="Integrating QA within sprint workflow"/>
        <s v="Integrating UX/BA tasks within sprint"/>
        <s v="Involving developers earlier in the requirements process"/>
        <s v="Involving domain experts (SMEs) in planning and decision-making"/>
        <s v="Keeping stories independent for delivery"/>
        <s v="Learning through iterative cycles"/>
        <s v="Leveraging cross-functional collaboration"/>
        <s v="Limiting long-term backlog planning"/>
        <s v="Limiting user story scope"/>
        <s v="Maintaining appropriate level of abstraction in user stories"/>
        <s v="Maintaining focus on what and why in user stories"/>
        <s v="Maintaining lightweight and adaptable analysis"/>
        <s v="Maintaining story independence"/>
        <s v="Maintaining traceability between tasks and parent user stories"/>
        <s v="Maintaining user stories as high-level requirements"/>
        <s v="Managing all work through product backlog"/>
        <s v="Managing dependencies explicitly"/>
        <s v="Managing dependencies through backlog linking"/>
        <s v="Managing estimation uncertainty through decomposition and adaptation"/>
        <s v="Managing estimation uncertainty through decomposition and exploratory work"/>
        <s v="Managing estimation uncertainty through exploratory work"/>
        <s v="Managing technical debt during isolated development"/>
        <s v="Managing UX/UI roles external to Scrum team when needed"/>
        <s v="Managing UX/UI work across or within sprints"/>
        <s v="Managing WIP and backlog refinement"/>
        <s v="Managing workflow around blockers"/>
        <s v="Minimizing waste in UX/UI processes"/>
        <s v="Performing continuous backlog refinement"/>
        <s v="Planning at appropriate granularity level"/>
        <s v="Preparing UX deliverables for development"/>
        <s v="Preventing scope creep in user stories"/>
        <s v="Prioritizing testing activities"/>
        <s v="Prioritizing value-driven delivery"/>
        <s v="Promoting collaborative user story writing"/>
        <s v="Promoting direct and honest stakeholder communication"/>
        <s v="Promoting positive testing mindset"/>
        <s v="Promoting team communication and collaboration"/>
        <s v="Providing hands-on training with domain experts (SMEs)"/>
        <s v="Reassessing process and priorities"/>
        <s v="Reassigning ownership across workflow stages"/>
        <s v="Recognizing testing as essential"/>
        <s v="Reducing upfront design overhead"/>
        <s v="Releasing stories independently based on value"/>
        <s v="Representing negative scenarios as user stories or acceptance tests"/>
        <s v="Resolving ambiguities before estimation"/>
        <s v="Respecting timeboxes"/>
        <s v="Scaling team capacity"/>
        <s v="Separating design work into distinct stories"/>
        <s v="Separating effort estimation from business value and cost estimation"/>
        <s v="Splitting epics into smaller user stories"/>
        <s v="Splitting functionality and design into separate stories"/>
        <s v="Splitting stories into developer-owned tasks"/>
        <s v="Splitting stories into team-member tasks"/>
        <s v="Splitting stories into vertical slices"/>
        <s v="Starting with simple architectures"/>
        <s v="Structuring backlog hierarchically"/>
        <s v="Structuring tasks for estimation clarity"/>
        <s v="Structuring teams by functional areas"/>
        <s v="Structuring work into tasks and subtasks"/>
        <s v="Supporting vertical stories through collective ownership and pair programming"/>
        <s v="Transforming work into backlog items"/>
        <s v="Understanding Agile beyond sprint boundaries"/>
        <s v="Understanding Agile work spans beyond a single iteration"/>
        <s v="Using alternative story formats"/>
        <s v="Using appropriate abstraction levels in backlog"/>
        <s v="Using collaborative estimation techniques"/>
        <s v="Using complementary structures to mitigate slicing drawbacks"/>
        <s v="Using creative problem-solving techniques"/>
        <s v="Using data-driven planning"/>
        <s v="Using demonstrator features to support stakeholder negotiation"/>
        <s v="Using detailed tracking for process improvement"/>
        <s v="Using direct time measurement when appropriate"/>
        <s v="Using empirical data to guide decisions"/>
        <s v="Using experienced leadership for guidance"/>
        <s v="Using exploratory work (spikes) to reduce uncertainty"/>
        <s v="Using flow-based approaches when suitable"/>
        <s v="Using historical reference stories for estimation"/>
        <s v="Using milestones and issues to structure features and tasks"/>
        <s v="Using modeling techniques to analyze dependencies"/>
        <s v="Using pair programming to build cross-functional confidence"/>
        <s v="Using patterns for vertical slicing"/>
        <s v="Using project narratives or charters to derive user stories"/>
        <s v="Using relative sizing for estimation"/>
        <s v="Using retrospectives for continuous improvement"/>
        <s v="Using root cause analysis to improve estimation practices"/>
        <s v="Using split-sprint UX/UI and development approach"/>
        <s v="Using staggered design-development workflow"/>
        <s v="Using staggered UX/UI and development workflow"/>
        <s v="Using standards and backlog grooming"/>
        <s v="Using steel threads to clarify user story requirements"/>
        <s v="Using story points for capacity estimation"/>
        <s v="Using summaries as guidance rather than full specification"/>
        <s v="Using timeboxes as process control mechanisms"/>
        <s v="Using training activities to improve domain knowledge"/>
        <s v="Using visual artifacts to support development"/>
      </sharedItems>
    </cacheField>
    <cacheField name="--&gt; Solução meta final" numFmtId="0">
      <sharedItems>
        <s v="Understanding that Agile work may span beyond a single sprint"/>
        <s v="Adapting and applying Agile/Scrum practices appropriately"/>
        <s v="Adapting story splitting to team and sprint context"/>
        <s v="Adapting work structure to team needs"/>
        <s v="Adapting workflow to different work types"/>
        <s v="Adjusting team capacity"/>
        <s v="Adopting iterative development practices"/>
        <s v="Using relative estimation instead of time/cost-based estimation"/>
        <s v="Aligning technical and architectural decisions with actual needs"/>
        <s v="Aligning delivery and release decisions with business value"/>
        <s v="Improving estimation practices"/>
        <s v="Aligning readiness through collaboration"/>
        <s v="Clarifying the purpose and interpretation of estimation"/>
        <s v="Ensuring user/business value in user stories"/>
        <s v="Aligning story size and granularity with sprint constraints"/>
        <s v="Integrating and prioritizing testing in the workflow"/>
        <s v="Applying consistent evaluation criteria"/>
        <s v="Prioritizing incremental and early value delivery"/>
        <s v="Using retrospectives and inspect-and-adapt for continuous improvement"/>
        <s v="Applying QA and quality standards to user stories"/>
        <s v="Clarifying requirements through questioning and shared understanding"/>
        <s v="Improving team collaboration, ownership, and resilience"/>
        <s v="Avoiding duplicate estimation of shared work"/>
        <s v="Defining clear, testable, and context-appropriate acceptance criteria"/>
        <s v="Limiting scope and preventing overbuilding"/>
        <s v="Avoiding overreliance on story mapping"/>
        <s v="Avoiding rigid scope commitments"/>
        <s v="Decomposing work into appropriately sized pieces"/>
        <s v="Avoiding UX/UI bottlenecks, waste, and pipelining"/>
        <s v="Structuring user stories into clear tasks and subtasks"/>
        <s v="Using vertical/end-to-end slicing"/>
        <s v="Breaking work into independent enabling increments"/>
        <s v="Broadening the definition of value"/>
        <s v="Clarifying user story concepts and abstraction levels"/>
        <s v="Clarifying slicing strategy and team responsibilities"/>
        <s v="Using time-based estimation when appropriate"/>
        <s v="Assigning tasks based on developer/team skills"/>
        <s v="Converting large stories into epics"/>
        <s v="Ensuring independent value and releasability of stories"/>
        <s v="Decomposing large user stories into smaller stories"/>
        <s v="Integrating UX/UI work with user stories and development"/>
        <s v="Decomposing work and iterating incrementally"/>
        <s v="Deferring estimation until readiness"/>
        <s v="Using Definition of Done to guide validation and completion"/>
        <s v="Defining high-level goals before deriving user stories"/>
        <s v="Defining readiness criteria for UX/UI work"/>
        <s v="Maintaining traceability between stories, tasks, and issues"/>
        <s v="Encouraging developer clarification of design"/>
        <s v="Making all work visible in the product backlog"/>
        <s v="Increasing stakeholder/customer involvement and feedback"/>
        <s v="Focusing on consistency over accuracy in estimation"/>
        <s v="Keeping user stories focused on user-relevant needs and rationale"/>
        <s v="Structuring and refining the product backlog"/>
        <s v="Promoting communication among team members and stakeholders"/>
        <s v="Improving knowledge sharing"/>
        <s v="Improving requirements engineering practices"/>
        <s v="Training stakeholders about user story quality and impact"/>
        <s v="Improving domain knowledge through training and expert involvement"/>
        <s v="Improving user story quality through refinement"/>
        <s v="Including design in Definition of Ready"/>
        <s v="Defining UX/UI role within or outside the Scrum team"/>
        <s v="Managing estimation uncertainty through decomposition and exploratory work"/>
        <s v="Incremental feature decomposition"/>
        <s v="Managing UX/UI work within or across sprints"/>
        <s v="Involving developers earlier in the requirements process"/>
        <s v="Maintaining appropriate abstraction levels"/>
        <s v="Maintaining lightweight and adaptable analysis"/>
        <s v="Managing dependencies explicitly"/>
        <s v="Managing technical debt explicitly"/>
        <s v="Managing flow and limiting WIP"/>
        <s v="Managing workflow around blockers"/>
        <s v="Promoting collaborative user story writing and communication"/>
        <s v="Reducing upfront design overhead"/>
        <s v="Using and respecting timeboxes"/>
        <s v="Separating effort estimation from business value and cost estimation"/>
        <s v="Splitting functionality and design into separate stories"/>
        <s v="Structuring teams by functional areas"/>
        <s v="Using collaborative estimation techniques"/>
        <s v="Using complementary structures to mitigate slicing drawbacks"/>
        <s v="Using creative problem-solving techniques"/>
        <s v="Using data and tracking for planning and process improvement"/>
        <s v="Using supporting artifacts to clarify and derive user stories"/>
        <s v="Using experienced leadership to guide process and decomposition"/>
        <s v="Using historical reference stories for estimation"/>
        <s v="Supporting vertical work through full-stack skills, pair programming, and collective ownership"/>
        <s v="Using root cause analysis to improve estimation practices"/>
        <s v="Using story points and velocity for team planning"/>
        <s v="Using summaries as guidance rather than full specification"/>
      </sharedItems>
    </cacheField>
    <cacheField name="-&gt; Categoria" numFmtId="0">
      <sharedItems>
        <s v="Process Adaptation"/>
        <s v="Work Structuring"/>
        <s v="Continuous Learning"/>
        <s v="Effort Estimation &amp; Planning"/>
        <s v="Technical Foundations"/>
        <s v="Value Orientation"/>
        <s v="Collaboration &amp; Alignment"/>
        <s v="Quality Assurance"/>
        <s v="Requirements Understanding"/>
        <s v="Design–Development Alignmen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Análise RQ1 Metodolgia" cacheId="0" dataCaption="" compact="0" compactData="0">
  <location ref="A1:C8" firstHeaderRow="0" firstDataRow="2"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Fórum" compact="0" outline="0" multipleItemSelectionAllowed="1" showAll="0">
      <items>
        <item x="0"/>
        <item x="1"/>
        <item x="2"/>
        <item t="default"/>
      </items>
    </pivotField>
    <pivotField name="ID Site" compact="0" outline="0" multipleItemSelectionAllowed="1" showAll="0">
      <items>
        <item x="0"/>
        <item t="default"/>
      </items>
    </pivotField>
    <pivotField name="Site" compact="0" outline="0" multipleItemSelectionAllowed="1" showAll="0">
      <items>
        <item x="0"/>
        <item x="1"/>
        <item x="2"/>
        <item x="3"/>
        <item t="default"/>
      </items>
    </pivotField>
    <pivotField name="Títul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Critério" compact="0" outline="0" multipleItemSelectionAllowed="1" showAll="0">
      <items>
        <item x="0"/>
        <item t="default"/>
      </items>
    </pivotField>
    <pivotField name="Ano" compact="0" outline="0" multipleItemSelectionAllowed="1" showAll="0">
      <items>
        <item x="0"/>
        <item x="1"/>
        <item x="2"/>
        <item x="3"/>
        <item x="4"/>
        <item x="5"/>
        <item x="6"/>
        <item x="7"/>
        <item x="8"/>
        <item x="9"/>
        <item x="10"/>
        <item x="11"/>
        <item t="default"/>
      </items>
    </pivotField>
    <pivotField name="Última resposta com score &gt; 0" compact="0" outline="0" multipleItemSelectionAllowed="1" showAll="0">
      <items>
        <item x="0"/>
        <item x="1"/>
        <item x="2"/>
        <item x="3"/>
        <item x="4"/>
        <item x="5"/>
        <item x="6"/>
        <item x="7"/>
        <item x="8"/>
        <item x="9"/>
        <item x="10"/>
        <item x="11"/>
        <item t="default"/>
      </items>
    </pivotField>
    <pivotField name="Nacionalidad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roblema (Pergunta)&#10;Nico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oblema (Pergunta)&#10;Yur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gt;Problema código final" compact="0" outline="0" multipleItemSelectionAllowed="1" showAll="0">
      <items>
        <item x="0"/>
        <item x="1"/>
        <item x="2"/>
        <item x="3"/>
        <item x="4"/>
        <item x="5"/>
        <item x="6"/>
        <item x="7"/>
        <item x="8"/>
        <item x="9"/>
        <item x="10"/>
        <item t="default"/>
      </items>
    </pivotField>
    <pivotField name="-&gt;Tipo de Problema" compact="0" outline="0" multipleItemSelectionAllowed="1" showAll="0">
      <items>
        <item x="0"/>
        <item x="1"/>
        <item t="default"/>
      </items>
    </pivotField>
    <pivotField name="Trecho - Proble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gt; Metodologia código final" axis="axisRow" dataField="1" compact="0" outline="0" multipleItemSelectionAllowed="1" showAll="0" sortType="descending">
      <items>
        <item x="0"/>
        <item x="1"/>
        <item x="2"/>
        <item x="3"/>
        <item x="4"/>
        <item x="5"/>
        <item t="default"/>
      </items>
      <autoSortScope>
        <pivotArea>
          <references>
            <reference field="4294967294">
              <x v="0"/>
            </reference>
          </references>
        </pivotArea>
      </autoSortScope>
    </pivotField>
    <pivotField name="Trecho - Metodologia Ág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gt; Cerimônia Código Final" compact="0" outline="0" multipleItemSelectionAllowed="1" showAll="0">
      <items>
        <item x="0"/>
        <item x="1"/>
        <item x="2"/>
        <item x="3"/>
        <item x="4"/>
        <item x="5"/>
        <item t="default"/>
      </items>
    </pivotField>
    <pivotField name="Trecho - Cerimôn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gt; Papel Código Final" compact="0" outline="0" multipleItemSelectionAllowed="1" showAll="0">
      <items>
        <item x="0"/>
        <item x="1"/>
        <item x="2"/>
        <item x="3"/>
        <item t="default"/>
      </items>
    </pivotField>
    <pivotField name="Trecho - Papel" compact="0" outline="0" multipleItemSelectionAllowed="1" showAll="0">
      <items>
        <item x="0"/>
        <item x="1"/>
        <item x="2"/>
        <item x="3"/>
        <item x="4"/>
        <item x="5"/>
        <item x="6"/>
        <item x="7"/>
        <item x="8"/>
        <item x="9"/>
        <item x="10"/>
        <item x="11"/>
        <item x="12"/>
        <item x="13"/>
        <item x="14"/>
        <item x="15"/>
        <item t="default"/>
      </items>
    </pivotField>
    <pivotField name="-&gt; Efeito Código Final" compact="0" outline="0" multipleItemSelectionAllowed="1" showAll="0">
      <items>
        <item x="0"/>
        <item x="1"/>
        <item x="2"/>
        <item x="3"/>
        <item x="4"/>
        <item x="5"/>
        <item x="6"/>
        <item x="7"/>
        <item x="8"/>
        <item x="9"/>
        <item x="10"/>
        <item x="11"/>
        <item x="12"/>
        <item t="default"/>
      </items>
    </pivotField>
    <pivotField name="-&gt; Efeito: Categorias" compact="0" outline="0" multipleItemSelectionAllowed="1" showAll="0">
      <items>
        <item x="0"/>
        <item x="1"/>
        <item x="2"/>
        <item x="3"/>
        <item x="4"/>
        <item x="5"/>
        <item t="default"/>
      </items>
    </pivotField>
    <pivotField name="Trecho - Efei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gt; Possíveis Soluções - Código Final" compact="0" outline="0" multipleItemSelectionAllowed="1" showAll="0">
      <items>
        <item x="0"/>
        <item x="1"/>
        <item x="2"/>
        <item x="3"/>
        <item x="4"/>
        <item x="5"/>
        <item x="6"/>
        <item x="7"/>
        <item x="8"/>
        <item x="9"/>
        <item x="10"/>
        <item t="default"/>
      </items>
    </pivotField>
    <pivotField name="Possíveis soluções - Consen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s>
  <rowFields>
    <field x="14"/>
  </rowFields>
  <colFields>
    <field x="-2"/>
  </colFields>
  <dataFields>
    <dataField name="COUNTA of -&gt; Metodologia código final" fld="14" subtotal="count" baseField="0"/>
    <dataField name="COUNTA of -&gt; Metodologia código final" fld="14" subtotal="count" showDataAs="percentOfTotal" baseField="0" numFmtId="10"/>
  </dataFields>
</pivotTableDefinition>
</file>

<file path=xl/pivotTables/pivotTable2.xml><?xml version="1.0" encoding="utf-8"?>
<pivotTableDefinition xmlns="http://schemas.openxmlformats.org/spreadsheetml/2006/main" name="Análise RQ1 Cerimônias" cacheId="0" dataCaption="" compact="0" compactData="0">
  <location ref="A1:C8" firstHeaderRow="0" firstDataRow="2"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Fórum" compact="0" outline="0" multipleItemSelectionAllowed="1" showAll="0">
      <items>
        <item x="0"/>
        <item x="1"/>
        <item x="2"/>
        <item t="default"/>
      </items>
    </pivotField>
    <pivotField name="ID Site" compact="0" outline="0" multipleItemSelectionAllowed="1" showAll="0">
      <items>
        <item x="0"/>
        <item t="default"/>
      </items>
    </pivotField>
    <pivotField name="Site" compact="0" outline="0" multipleItemSelectionAllowed="1" showAll="0">
      <items>
        <item x="0"/>
        <item x="1"/>
        <item x="2"/>
        <item x="3"/>
        <item t="default"/>
      </items>
    </pivotField>
    <pivotField name="Títul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Critério" compact="0" outline="0" multipleItemSelectionAllowed="1" showAll="0">
      <items>
        <item x="0"/>
        <item t="default"/>
      </items>
    </pivotField>
    <pivotField name="Ano" compact="0" outline="0" multipleItemSelectionAllowed="1" showAll="0">
      <items>
        <item x="0"/>
        <item x="1"/>
        <item x="2"/>
        <item x="3"/>
        <item x="4"/>
        <item x="5"/>
        <item x="6"/>
        <item x="7"/>
        <item x="8"/>
        <item x="9"/>
        <item x="10"/>
        <item x="11"/>
        <item t="default"/>
      </items>
    </pivotField>
    <pivotField name="Última resposta com score &gt; 0" compact="0" outline="0" multipleItemSelectionAllowed="1" showAll="0">
      <items>
        <item x="0"/>
        <item x="1"/>
        <item x="2"/>
        <item x="3"/>
        <item x="4"/>
        <item x="5"/>
        <item x="6"/>
        <item x="7"/>
        <item x="8"/>
        <item x="9"/>
        <item x="10"/>
        <item x="11"/>
        <item t="default"/>
      </items>
    </pivotField>
    <pivotField name="Nacionalidad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roblema (Pergunta)&#10;Nico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oblema (Pergunta)&#10;Yur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gt;Problema código final" compact="0" outline="0" multipleItemSelectionAllowed="1" showAll="0">
      <items>
        <item x="0"/>
        <item x="1"/>
        <item x="2"/>
        <item x="3"/>
        <item x="4"/>
        <item x="5"/>
        <item x="6"/>
        <item x="7"/>
        <item x="8"/>
        <item x="9"/>
        <item x="10"/>
        <item t="default"/>
      </items>
    </pivotField>
    <pivotField name="-&gt;Tipo de Problema" compact="0" outline="0" multipleItemSelectionAllowed="1" showAll="0">
      <items>
        <item x="0"/>
        <item x="1"/>
        <item t="default"/>
      </items>
    </pivotField>
    <pivotField name="Trecho - Proble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gt; Metodologia código final" compact="0" outline="0" multipleItemSelectionAllowed="1" showAll="0">
      <items>
        <item x="0"/>
        <item x="1"/>
        <item x="2"/>
        <item x="3"/>
        <item x="4"/>
        <item x="5"/>
        <item t="default"/>
      </items>
    </pivotField>
    <pivotField name="Trecho - Metodologia Ág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gt; Cerimônia Código Final" axis="axisRow" dataField="1" compact="0" outline="0" multipleItemSelectionAllowed="1" showAll="0" sortType="ascending">
      <items>
        <item x="4"/>
        <item x="1"/>
        <item x="3"/>
        <item x="5"/>
        <item x="0"/>
        <item x="2"/>
        <item t="default"/>
      </items>
    </pivotField>
    <pivotField name="Trecho - Cerimôn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gt; Papel Código Final" compact="0" outline="0" multipleItemSelectionAllowed="1" showAll="0">
      <items>
        <item x="0"/>
        <item x="1"/>
        <item x="2"/>
        <item x="3"/>
        <item t="default"/>
      </items>
    </pivotField>
    <pivotField name="Trecho - Papel" compact="0" outline="0" multipleItemSelectionAllowed="1" showAll="0">
      <items>
        <item x="0"/>
        <item x="1"/>
        <item x="2"/>
        <item x="3"/>
        <item x="4"/>
        <item x="5"/>
        <item x="6"/>
        <item x="7"/>
        <item x="8"/>
        <item x="9"/>
        <item x="10"/>
        <item x="11"/>
        <item x="12"/>
        <item x="13"/>
        <item x="14"/>
        <item x="15"/>
        <item t="default"/>
      </items>
    </pivotField>
    <pivotField name="-&gt; Efeito Código Final" compact="0" outline="0" multipleItemSelectionAllowed="1" showAll="0">
      <items>
        <item x="0"/>
        <item x="1"/>
        <item x="2"/>
        <item x="3"/>
        <item x="4"/>
        <item x="5"/>
        <item x="6"/>
        <item x="7"/>
        <item x="8"/>
        <item x="9"/>
        <item x="10"/>
        <item x="11"/>
        <item x="12"/>
        <item t="default"/>
      </items>
    </pivotField>
    <pivotField name="-&gt; Efeito: Categorias" compact="0" outline="0" multipleItemSelectionAllowed="1" showAll="0">
      <items>
        <item x="0"/>
        <item x="1"/>
        <item x="2"/>
        <item x="3"/>
        <item x="4"/>
        <item x="5"/>
        <item t="default"/>
      </items>
    </pivotField>
    <pivotField name="Trecho - Efei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gt; Possíveis Soluções - Código Final" compact="0" outline="0" multipleItemSelectionAllowed="1" showAll="0">
      <items>
        <item x="0"/>
        <item x="1"/>
        <item x="2"/>
        <item x="3"/>
        <item x="4"/>
        <item x="5"/>
        <item x="6"/>
        <item x="7"/>
        <item x="8"/>
        <item x="9"/>
        <item x="10"/>
        <item t="default"/>
      </items>
    </pivotField>
    <pivotField name="Possíveis soluções - Consen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s>
  <rowFields>
    <field x="16"/>
  </rowFields>
  <colFields>
    <field x="-2"/>
  </colFields>
  <dataFields>
    <dataField name="COUNTA of -&gt; Cerimônia Código Final" fld="16" subtotal="count" baseField="0"/>
    <dataField name="COUNTA of -&gt; Cerimônia Código Final" fld="16" subtotal="count" showDataAs="percentOfTotal" baseField="0" numFmtId="10"/>
  </dataFields>
</pivotTableDefinition>
</file>

<file path=xl/pivotTables/pivotTable3.xml><?xml version="1.0" encoding="utf-8"?>
<pivotTableDefinition xmlns="http://schemas.openxmlformats.org/spreadsheetml/2006/main" name="Análise RQ1 Papel" cacheId="0" dataCaption="" compact="0" compactData="0">
  <location ref="A1:C6" firstHeaderRow="0" firstDataRow="2"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Fórum" compact="0" outline="0" multipleItemSelectionAllowed="1" showAll="0">
      <items>
        <item x="0"/>
        <item x="1"/>
        <item x="2"/>
        <item t="default"/>
      </items>
    </pivotField>
    <pivotField name="ID Site" compact="0" outline="0" multipleItemSelectionAllowed="1" showAll="0">
      <items>
        <item x="0"/>
        <item t="default"/>
      </items>
    </pivotField>
    <pivotField name="Site" compact="0" outline="0" multipleItemSelectionAllowed="1" showAll="0">
      <items>
        <item x="0"/>
        <item x="1"/>
        <item x="2"/>
        <item x="3"/>
        <item t="default"/>
      </items>
    </pivotField>
    <pivotField name="Títul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Critério" compact="0" outline="0" multipleItemSelectionAllowed="1" showAll="0">
      <items>
        <item x="0"/>
        <item t="default"/>
      </items>
    </pivotField>
    <pivotField name="Ano" compact="0" outline="0" multipleItemSelectionAllowed="1" showAll="0">
      <items>
        <item x="0"/>
        <item x="1"/>
        <item x="2"/>
        <item x="3"/>
        <item x="4"/>
        <item x="5"/>
        <item x="6"/>
        <item x="7"/>
        <item x="8"/>
        <item x="9"/>
        <item x="10"/>
        <item x="11"/>
        <item t="default"/>
      </items>
    </pivotField>
    <pivotField name="Última resposta com score &gt; 0" compact="0" outline="0" multipleItemSelectionAllowed="1" showAll="0">
      <items>
        <item x="0"/>
        <item x="1"/>
        <item x="2"/>
        <item x="3"/>
        <item x="4"/>
        <item x="5"/>
        <item x="6"/>
        <item x="7"/>
        <item x="8"/>
        <item x="9"/>
        <item x="10"/>
        <item x="11"/>
        <item t="default"/>
      </items>
    </pivotField>
    <pivotField name="Nacionalidad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roblema (Pergunta)&#10;Nico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roblema (Pergunta)&#10;Yur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gt;Problema código final" compact="0" outline="0" multipleItemSelectionAllowed="1" showAll="0">
      <items>
        <item x="0"/>
        <item x="1"/>
        <item x="2"/>
        <item x="3"/>
        <item x="4"/>
        <item x="5"/>
        <item x="6"/>
        <item x="7"/>
        <item x="8"/>
        <item x="9"/>
        <item x="10"/>
        <item t="default"/>
      </items>
    </pivotField>
    <pivotField name="-&gt;Tipo de Problema" compact="0" outline="0" multipleItemSelectionAllowed="1" showAll="0">
      <items>
        <item x="0"/>
        <item x="1"/>
        <item t="default"/>
      </items>
    </pivotField>
    <pivotField name="Trecho - Proble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gt; Metodologia código final" compact="0" outline="0" multipleItemSelectionAllowed="1" showAll="0">
      <items>
        <item x="0"/>
        <item x="1"/>
        <item x="2"/>
        <item x="3"/>
        <item x="4"/>
        <item x="5"/>
        <item t="default"/>
      </items>
    </pivotField>
    <pivotField name="Trecho - Metodologia Ág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gt; Cerimônia Código Final" compact="0" outline="0" multipleItemSelectionAllowed="1" showAll="0">
      <items>
        <item x="0"/>
        <item x="1"/>
        <item x="2"/>
        <item x="3"/>
        <item x="4"/>
        <item x="5"/>
        <item t="default"/>
      </items>
    </pivotField>
    <pivotField name="Trecho - Cerimôn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gt; Papel Código Final" axis="axisRow" dataField="1" compact="0" outline="0" multipleItemSelectionAllowed="1" showAll="0" sortType="ascending">
      <items>
        <item x="0"/>
        <item x="2"/>
        <item x="3"/>
        <item x="1"/>
        <item t="default"/>
      </items>
    </pivotField>
    <pivotField name="Trecho - Papel" compact="0" outline="0" multipleItemSelectionAllowed="1" showAll="0">
      <items>
        <item x="0"/>
        <item x="1"/>
        <item x="2"/>
        <item x="3"/>
        <item x="4"/>
        <item x="5"/>
        <item x="6"/>
        <item x="7"/>
        <item x="8"/>
        <item x="9"/>
        <item x="10"/>
        <item x="11"/>
        <item x="12"/>
        <item x="13"/>
        <item x="14"/>
        <item x="15"/>
        <item t="default"/>
      </items>
    </pivotField>
    <pivotField name="-&gt; Efeito Código Final" compact="0" outline="0" multipleItemSelectionAllowed="1" showAll="0">
      <items>
        <item x="0"/>
        <item x="1"/>
        <item x="2"/>
        <item x="3"/>
        <item x="4"/>
        <item x="5"/>
        <item x="6"/>
        <item x="7"/>
        <item x="8"/>
        <item x="9"/>
        <item x="10"/>
        <item x="11"/>
        <item x="12"/>
        <item t="default"/>
      </items>
    </pivotField>
    <pivotField name="-&gt; Efeito: Categorias" compact="0" outline="0" multipleItemSelectionAllowed="1" showAll="0">
      <items>
        <item x="0"/>
        <item x="1"/>
        <item x="2"/>
        <item x="3"/>
        <item x="4"/>
        <item x="5"/>
        <item t="default"/>
      </items>
    </pivotField>
    <pivotField name="Trecho - Efei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gt; Possíveis Soluções - Código Final" compact="0" outline="0" multipleItemSelectionAllowed="1" showAll="0">
      <items>
        <item x="0"/>
        <item x="1"/>
        <item x="2"/>
        <item x="3"/>
        <item x="4"/>
        <item x="5"/>
        <item x="6"/>
        <item x="7"/>
        <item x="8"/>
        <item x="9"/>
        <item x="10"/>
        <item t="default"/>
      </items>
    </pivotField>
    <pivotField name="Possíveis soluções - Consen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s>
  <rowFields>
    <field x="18"/>
  </rowFields>
  <colFields>
    <field x="-2"/>
  </colFields>
  <dataFields>
    <dataField name="COUNTA of -&gt; Papel Código Final" fld="18" subtotal="count" baseField="0"/>
    <dataField name="COUNTA of -&gt; Papel Código Final" fld="18" subtotal="count" showDataAs="percentOfTotal" baseField="0" numFmtId="10"/>
  </dataFields>
</pivotTableDefinition>
</file>

<file path=xl/pivotTables/pivotTable4.xml><?xml version="1.0" encoding="utf-8"?>
<pivotTableDefinition xmlns="http://schemas.openxmlformats.org/spreadsheetml/2006/main" name="Tabela dinâmica 2" cacheId="1" dataCaption="" rowGrandTotals="0" compact="0" compactData="0">
  <location ref="A1:B89" firstHeaderRow="0" firstDataRow="1"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gt;Problema código final" dataField="1" compact="0" outline="0" multipleItemSelectionAllowed="1" showAll="0">
      <items>
        <item x="0"/>
        <item x="1"/>
        <item x="2"/>
        <item x="3"/>
        <item x="4"/>
        <item x="5"/>
        <item x="6"/>
        <item x="7"/>
        <item x="8"/>
        <item x="9"/>
        <item x="10"/>
        <item t="default"/>
      </items>
    </pivotField>
    <pivotField name="-&gt;Tipo de Problema" compact="0" outline="0" multipleItemSelectionAllowed="1" showAll="0">
      <items>
        <item x="0"/>
        <item x="1"/>
        <item t="default"/>
      </items>
    </pivotField>
    <pivotField name="-&gt; Metodologia código final" compact="0" outline="0" multipleItemSelectionAllowed="1" showAll="0">
      <items>
        <item x="0"/>
        <item x="1"/>
        <item x="2"/>
        <item x="3"/>
        <item x="4"/>
        <item t="default"/>
      </items>
    </pivotField>
    <pivotField name="-&gt; Cerimônia Código Final" compact="0" outline="0" multipleItemSelectionAllowed="1" showAll="0">
      <items>
        <item x="0"/>
        <item x="1"/>
        <item x="2"/>
        <item x="3"/>
        <item x="4"/>
        <item x="5"/>
        <item t="default"/>
      </items>
    </pivotField>
    <pivotField name="-&gt; Papel Código Final" compact="0" outline="0" multipleItemSelectionAllowed="1" showAll="0">
      <items>
        <item x="0"/>
        <item x="1"/>
        <item x="2"/>
        <item x="3"/>
        <item t="default"/>
      </items>
    </pivotField>
    <pivotField name="-&gt; Efeito Código Final" compact="0" outline="0" multipleItemSelectionAllowed="1" showAll="0">
      <items>
        <item x="0"/>
        <item x="1"/>
        <item x="2"/>
        <item x="3"/>
        <item x="4"/>
        <item x="5"/>
        <item x="6"/>
        <item x="7"/>
        <item x="8"/>
        <item x="9"/>
        <item x="10"/>
        <item x="11"/>
        <item x="12"/>
        <item t="default"/>
      </items>
    </pivotField>
    <pivotField name="-&gt; Efeito: Categorias" compact="0" outline="0" multipleItemSelectionAllowed="1" showAll="0">
      <items>
        <item x="0"/>
        <item x="1"/>
        <item x="2"/>
        <item x="3"/>
        <item x="4"/>
        <item x="5"/>
        <item t="default"/>
      </items>
    </pivotField>
    <pivotField name="-&gt; Possíveis Soluções - Código Fin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t="default"/>
      </items>
    </pivotField>
    <pivotField name="Solução Código Fin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gt; Solução meta final" axis="axisRow" compact="0" outline="0" multipleItemSelectionAllowed="1" showAll="0" sortType="ascending">
      <items>
        <item x="1"/>
        <item x="2"/>
        <item x="3"/>
        <item x="4"/>
        <item x="5"/>
        <item x="6"/>
        <item x="9"/>
        <item x="11"/>
        <item x="14"/>
        <item x="8"/>
        <item x="16"/>
        <item x="19"/>
        <item x="36"/>
        <item x="22"/>
        <item x="25"/>
        <item x="26"/>
        <item x="28"/>
        <item x="31"/>
        <item x="32"/>
        <item x="20"/>
        <item x="34"/>
        <item x="12"/>
        <item x="33"/>
        <item x="37"/>
        <item x="39"/>
        <item x="41"/>
        <item x="27"/>
        <item x="42"/>
        <item x="23"/>
        <item x="44"/>
        <item x="45"/>
        <item x="60"/>
        <item x="47"/>
        <item x="38"/>
        <item x="13"/>
        <item x="50"/>
        <item x="57"/>
        <item x="10"/>
        <item x="54"/>
        <item x="55"/>
        <item x="21"/>
        <item x="58"/>
        <item x="59"/>
        <item x="49"/>
        <item x="62"/>
        <item x="15"/>
        <item x="40"/>
        <item x="64"/>
        <item x="51"/>
        <item x="24"/>
        <item x="65"/>
        <item x="66"/>
        <item x="46"/>
        <item x="48"/>
        <item x="67"/>
        <item x="61"/>
        <item x="69"/>
        <item x="68"/>
        <item x="63"/>
        <item x="70"/>
        <item x="17"/>
        <item x="71"/>
        <item x="53"/>
        <item x="72"/>
        <item x="74"/>
        <item x="75"/>
        <item x="52"/>
        <item x="76"/>
        <item x="29"/>
        <item x="84"/>
        <item x="56"/>
        <item x="0"/>
        <item x="73"/>
        <item x="77"/>
        <item x="78"/>
        <item x="79"/>
        <item x="80"/>
        <item x="43"/>
        <item x="82"/>
        <item x="83"/>
        <item x="7"/>
        <item x="18"/>
        <item x="85"/>
        <item x="86"/>
        <item x="87"/>
        <item x="81"/>
        <item x="35"/>
        <item x="30"/>
        <item t="default"/>
      </items>
    </pivotField>
    <pivotField name="-&gt; Categoria" compact="0" outline="0" multipleItemSelectionAllowed="1" showAll="0">
      <items>
        <item x="0"/>
        <item x="1"/>
        <item x="2"/>
        <item x="3"/>
        <item x="4"/>
        <item x="5"/>
        <item x="6"/>
        <item x="7"/>
        <item x="8"/>
        <item x="9"/>
        <item t="default"/>
      </items>
    </pivotField>
  </pivotFields>
  <rowFields>
    <field x="10"/>
  </rowFields>
  <dataFields>
    <dataField name="COUNTA of -&gt;Problema código final" fld="1"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m.stackexchange.com/questions/9878/how-can-i-manage-both-user-stories-and-other-non-backlog-tasks-if-using-versiono" TargetMode="External"/><Relationship Id="rId42" Type="http://schemas.openxmlformats.org/officeDocument/2006/relationships/hyperlink" Target="https://softwareengineering.stackexchange.com/questions/" TargetMode="External"/><Relationship Id="rId41" Type="http://schemas.openxmlformats.org/officeDocument/2006/relationships/hyperlink" Target="https://softwareengineering.stackexchange.com/questions/" TargetMode="External"/><Relationship Id="rId44" Type="http://schemas.openxmlformats.org/officeDocument/2006/relationships/hyperlink" Target="https://softwareengineering.stackexchange.com/questions/" TargetMode="External"/><Relationship Id="rId43" Type="http://schemas.openxmlformats.org/officeDocument/2006/relationships/hyperlink" Target="https://softwareengineering.stackexchange.com/questions/" TargetMode="External"/><Relationship Id="rId46" Type="http://schemas.openxmlformats.org/officeDocument/2006/relationships/hyperlink" Target="https://softwareengineering.stackexchange.com/questions/" TargetMode="External"/><Relationship Id="rId45" Type="http://schemas.openxmlformats.org/officeDocument/2006/relationships/hyperlink" Target="https://softwareengineering.stackexchange.com/questions/" TargetMode="External"/><Relationship Id="rId107" Type="http://schemas.openxmlformats.org/officeDocument/2006/relationships/hyperlink" Target="https://pm.stackexchange.com/questions/" TargetMode="External"/><Relationship Id="rId106" Type="http://schemas.openxmlformats.org/officeDocument/2006/relationships/hyperlink" Target="https://pm.stackexchange.com/questions/" TargetMode="External"/><Relationship Id="rId105" Type="http://schemas.openxmlformats.org/officeDocument/2006/relationships/hyperlink" Target="https://softwareengineering.stackexchange.com/questions/" TargetMode="External"/><Relationship Id="rId104" Type="http://schemas.openxmlformats.org/officeDocument/2006/relationships/hyperlink" Target="https://softwareengineering.stackexchange.com/questions/" TargetMode="External"/><Relationship Id="rId109" Type="http://schemas.openxmlformats.org/officeDocument/2006/relationships/hyperlink" Target="https://pm.stackexchange.com/questions/" TargetMode="External"/><Relationship Id="rId108" Type="http://schemas.openxmlformats.org/officeDocument/2006/relationships/hyperlink" Target="https://pm.stackexchange.com/questions/" TargetMode="External"/><Relationship Id="rId48" Type="http://schemas.openxmlformats.org/officeDocument/2006/relationships/hyperlink" Target="https://softwareengineering.stackexchange.com/questions/" TargetMode="External"/><Relationship Id="rId47" Type="http://schemas.openxmlformats.org/officeDocument/2006/relationships/hyperlink" Target="https://softwareengineering.stackexchange.com/questions/" TargetMode="External"/><Relationship Id="rId49" Type="http://schemas.openxmlformats.org/officeDocument/2006/relationships/hyperlink" Target="https://softwareengineering.stackexchange.com/questions/231273/how-to-get-better-understanding-of-the-users-as-a-programmer" TargetMode="External"/><Relationship Id="rId103" Type="http://schemas.openxmlformats.org/officeDocument/2006/relationships/hyperlink" Target="https://softwareengineering.stackexchange.com/questions/" TargetMode="External"/><Relationship Id="rId102" Type="http://schemas.openxmlformats.org/officeDocument/2006/relationships/hyperlink" Target="https://softwareengineering.stackexchange.com/questions/" TargetMode="External"/><Relationship Id="rId101" Type="http://schemas.openxmlformats.org/officeDocument/2006/relationships/hyperlink" Target="https://pm.stackexchange.com/questions/25196/how-to-write-a-summary-for-a-user-story" TargetMode="External"/><Relationship Id="rId100" Type="http://schemas.openxmlformats.org/officeDocument/2006/relationships/hyperlink" Target="https://pm.stackexchange.com/questions/" TargetMode="External"/><Relationship Id="rId31" Type="http://schemas.openxmlformats.org/officeDocument/2006/relationships/hyperlink" Target="https://softwareengineering.stackexchange.com/questions/" TargetMode="External"/><Relationship Id="rId30" Type="http://schemas.openxmlformats.org/officeDocument/2006/relationships/hyperlink" Target="https://softwareengineering.stackexchange.com/questions/" TargetMode="External"/><Relationship Id="rId33" Type="http://schemas.openxmlformats.org/officeDocument/2006/relationships/hyperlink" Target="https://softwareengineering.stackexchange.com/questions/" TargetMode="External"/><Relationship Id="rId32" Type="http://schemas.openxmlformats.org/officeDocument/2006/relationships/hyperlink" Target="https://softwareengineering.stackexchange.com/questions/" TargetMode="External"/><Relationship Id="rId35" Type="http://schemas.openxmlformats.org/officeDocument/2006/relationships/hyperlink" Target="https://pm.stackexchange.com/questions/" TargetMode="External"/><Relationship Id="rId34" Type="http://schemas.openxmlformats.org/officeDocument/2006/relationships/hyperlink" Target="https://softwareengineering.stackexchange.com/questions/127300/i-would-like-to-improve-in-writing-goal-oriented-user-stories-features" TargetMode="External"/><Relationship Id="rId37" Type="http://schemas.openxmlformats.org/officeDocument/2006/relationships/hyperlink" Target="https://pm.stackexchange.com/questions/" TargetMode="External"/><Relationship Id="rId36" Type="http://schemas.openxmlformats.org/officeDocument/2006/relationships/hyperlink" Target="https://pm.stackexchange.com/questions/8410/how-should-a-team-handle-disagreements-about-story-point-estimates-in-scrum" TargetMode="External"/><Relationship Id="rId39" Type="http://schemas.openxmlformats.org/officeDocument/2006/relationships/hyperlink" Target="https://pm.stackexchange.com/questions/" TargetMode="External"/><Relationship Id="rId38" Type="http://schemas.openxmlformats.org/officeDocument/2006/relationships/hyperlink" Target="https://pm.stackexchange.com/questions/8679/how-does-a-team-new-to-product-and-domain-estimate-user-stories-of-a-ten-year" TargetMode="External"/><Relationship Id="rId20" Type="http://schemas.openxmlformats.org/officeDocument/2006/relationships/hyperlink" Target="https://softwareengineering.stackexchange.com/questions/" TargetMode="External"/><Relationship Id="rId22" Type="http://schemas.openxmlformats.org/officeDocument/2006/relationships/hyperlink" Target="https://softwareengineering.stackexchange.com/questions/" TargetMode="External"/><Relationship Id="rId21" Type="http://schemas.openxmlformats.org/officeDocument/2006/relationships/hyperlink" Target="https://softwareengineering.stackexchange.com/questions/" TargetMode="External"/><Relationship Id="rId24" Type="http://schemas.openxmlformats.org/officeDocument/2006/relationships/hyperlink" Target="https://pm.stackexchange.com/questions/" TargetMode="External"/><Relationship Id="rId23" Type="http://schemas.openxmlformats.org/officeDocument/2006/relationships/hyperlink" Target="https://softwareengineering.stackexchange.com/questions/" TargetMode="External"/><Relationship Id="rId129" Type="http://schemas.openxmlformats.org/officeDocument/2006/relationships/hyperlink" Target="https://pm.stackexchange.com/questions/" TargetMode="External"/><Relationship Id="rId128" Type="http://schemas.openxmlformats.org/officeDocument/2006/relationships/hyperlink" Target="https://pm.stackexchange.com/questions/25714/how-to-write-a-user-story-involving-artistic-work" TargetMode="External"/><Relationship Id="rId127" Type="http://schemas.openxmlformats.org/officeDocument/2006/relationships/hyperlink" Target="https://pm.stackexchange.com/questions/" TargetMode="External"/><Relationship Id="rId126" Type="http://schemas.openxmlformats.org/officeDocument/2006/relationships/hyperlink" Target="https://pm.stackexchange.com/questions/" TargetMode="External"/><Relationship Id="rId26" Type="http://schemas.openxmlformats.org/officeDocument/2006/relationships/hyperlink" Target="https://softwareengineering.stackexchange.com/questions/" TargetMode="External"/><Relationship Id="rId121" Type="http://schemas.openxmlformats.org/officeDocument/2006/relationships/hyperlink" Target="https://softwareengineering.stackexchange.com/questions/398317/do-user-stories-need-to-be-independent-and-valuable-or-independently-valuable" TargetMode="External"/><Relationship Id="rId25" Type="http://schemas.openxmlformats.org/officeDocument/2006/relationships/hyperlink" Target="https://pm.stackexchange.com/questions/7953/how-to-keep-all-the-developers-on-the-same-page-in-scrum" TargetMode="External"/><Relationship Id="rId120" Type="http://schemas.openxmlformats.org/officeDocument/2006/relationships/hyperlink" Target="https://softwareengineering.stackexchange.com/questions/" TargetMode="External"/><Relationship Id="rId28" Type="http://schemas.openxmlformats.org/officeDocument/2006/relationships/hyperlink" Target="https://softwareengineering.stackexchange.com/questions/" TargetMode="External"/><Relationship Id="rId27" Type="http://schemas.openxmlformats.org/officeDocument/2006/relationships/hyperlink" Target="https://softwareengineering.stackexchange.com/questions/" TargetMode="External"/><Relationship Id="rId125" Type="http://schemas.openxmlformats.org/officeDocument/2006/relationships/hyperlink" Target="https://softwareengineering.stackexchange.com/questions/" TargetMode="External"/><Relationship Id="rId29" Type="http://schemas.openxmlformats.org/officeDocument/2006/relationships/hyperlink" Target="https://softwareengineering.stackexchange.com/questions/" TargetMode="External"/><Relationship Id="rId124" Type="http://schemas.openxmlformats.org/officeDocument/2006/relationships/hyperlink" Target="https://softwareengineering.stackexchange.com/questions/" TargetMode="External"/><Relationship Id="rId123" Type="http://schemas.openxmlformats.org/officeDocument/2006/relationships/hyperlink" Target="https://softwareengineering.stackexchange.com/questions/" TargetMode="External"/><Relationship Id="rId122" Type="http://schemas.openxmlformats.org/officeDocument/2006/relationships/hyperlink" Target="https://pm.stackexchange.com/questions/" TargetMode="External"/><Relationship Id="rId95" Type="http://schemas.openxmlformats.org/officeDocument/2006/relationships/hyperlink" Target="https://softwareengineering.stackexchange.com/questions/" TargetMode="External"/><Relationship Id="rId94" Type="http://schemas.openxmlformats.org/officeDocument/2006/relationships/hyperlink" Target="https://softwareengineering.stackexchange.com/questions/" TargetMode="External"/><Relationship Id="rId97" Type="http://schemas.openxmlformats.org/officeDocument/2006/relationships/hyperlink" Target="https://softwareengineering.stackexchange.com/questions/" TargetMode="External"/><Relationship Id="rId96" Type="http://schemas.openxmlformats.org/officeDocument/2006/relationships/hyperlink" Target="https://softwareengineering.stackexchange.com/questions/" TargetMode="External"/><Relationship Id="rId11" Type="http://schemas.openxmlformats.org/officeDocument/2006/relationships/hyperlink" Target="https://softwareengineering.stackexchange.com/questions/41750/many-user-stories-share-the-same-technical-tasks-what-to-do" TargetMode="External"/><Relationship Id="rId99" Type="http://schemas.openxmlformats.org/officeDocument/2006/relationships/hyperlink" Target="https://softwareengineering.stackexchange.com/questions/" TargetMode="External"/><Relationship Id="rId10" Type="http://schemas.openxmlformats.org/officeDocument/2006/relationships/hyperlink" Target="https://softwareengineering.stackexchange.com/questions/" TargetMode="External"/><Relationship Id="rId98" Type="http://schemas.openxmlformats.org/officeDocument/2006/relationships/hyperlink" Target="https://softwareengineering.stackexchange.com/questions/" TargetMode="External"/><Relationship Id="rId13" Type="http://schemas.openxmlformats.org/officeDocument/2006/relationships/hyperlink" Target="https://pm.stackexchange.com/questions/" TargetMode="External"/><Relationship Id="rId12" Type="http://schemas.openxmlformats.org/officeDocument/2006/relationships/hyperlink" Target="https://pm.stackexchange.com/questions/" TargetMode="External"/><Relationship Id="rId91" Type="http://schemas.openxmlformats.org/officeDocument/2006/relationships/hyperlink" Target="https://pm.stackexchange.com/questions/" TargetMode="External"/><Relationship Id="rId90" Type="http://schemas.openxmlformats.org/officeDocument/2006/relationships/hyperlink" Target="https://softwareengineering.stackexchange.com/questions/" TargetMode="External"/><Relationship Id="rId93" Type="http://schemas.openxmlformats.org/officeDocument/2006/relationships/hyperlink" Target="https://softwareengineering.stackexchange.com/questions/" TargetMode="External"/><Relationship Id="rId92" Type="http://schemas.openxmlformats.org/officeDocument/2006/relationships/hyperlink" Target="https://pm.stackexchange.com/questions/23855/how-to-plan-2-week-sprints-when-each-story-completed-will-generate-multiple-sto" TargetMode="External"/><Relationship Id="rId118" Type="http://schemas.openxmlformats.org/officeDocument/2006/relationships/hyperlink" Target="https://pm.stackexchange.com/questions/" TargetMode="External"/><Relationship Id="rId117" Type="http://schemas.openxmlformats.org/officeDocument/2006/relationships/hyperlink" Target="https://pm.stackexchange.com/questions/" TargetMode="External"/><Relationship Id="rId116" Type="http://schemas.openxmlformats.org/officeDocument/2006/relationships/hyperlink" Target="https://softwareengineering.stackexchange.com/questions/" TargetMode="External"/><Relationship Id="rId115" Type="http://schemas.openxmlformats.org/officeDocument/2006/relationships/hyperlink" Target="https://pm.stackexchange.com/questions/" TargetMode="External"/><Relationship Id="rId119" Type="http://schemas.openxmlformats.org/officeDocument/2006/relationships/hyperlink" Target="https://pm.stackexchange.com/questions/" TargetMode="External"/><Relationship Id="rId15" Type="http://schemas.openxmlformats.org/officeDocument/2006/relationships/hyperlink" Target="https://pm.stackexchange.com/questions/" TargetMode="External"/><Relationship Id="rId110" Type="http://schemas.openxmlformats.org/officeDocument/2006/relationships/hyperlink" Target="https://pm.stackexchange.com/questions/27494/what-to-do-for-delayed-stories-between-sprints" TargetMode="External"/><Relationship Id="rId14" Type="http://schemas.openxmlformats.org/officeDocument/2006/relationships/hyperlink" Target="https://sqa.stackexchange.com/questions/" TargetMode="External"/><Relationship Id="rId17" Type="http://schemas.openxmlformats.org/officeDocument/2006/relationships/hyperlink" Target="https://softwareengineering.stackexchange.com/questions/" TargetMode="External"/><Relationship Id="rId16" Type="http://schemas.openxmlformats.org/officeDocument/2006/relationships/hyperlink" Target="https://pm.stackexchange.com/questions/3017/where-should-design-be-incorporated-in-an-agile-process" TargetMode="External"/><Relationship Id="rId19" Type="http://schemas.openxmlformats.org/officeDocument/2006/relationships/hyperlink" Target="https://pm.stackexchange.com/questions/" TargetMode="External"/><Relationship Id="rId114" Type="http://schemas.openxmlformats.org/officeDocument/2006/relationships/hyperlink" Target="https://pm.stackexchange.com/questions/" TargetMode="External"/><Relationship Id="rId18" Type="http://schemas.openxmlformats.org/officeDocument/2006/relationships/hyperlink" Target="https://softwareengineering.stackexchange.com/questions/147937/how-much-detail-about-a-user-story-can-a-developer-expect" TargetMode="External"/><Relationship Id="rId113" Type="http://schemas.openxmlformats.org/officeDocument/2006/relationships/hyperlink" Target="https://pm.stackexchange.com/questions/" TargetMode="External"/><Relationship Id="rId112" Type="http://schemas.openxmlformats.org/officeDocument/2006/relationships/hyperlink" Target="https://pm.stackexchange.com/questions/" TargetMode="External"/><Relationship Id="rId111" Type="http://schemas.openxmlformats.org/officeDocument/2006/relationships/hyperlink" Target="https://softwareengineering.stackexchange.com/questions/" TargetMode="External"/><Relationship Id="rId84" Type="http://schemas.openxmlformats.org/officeDocument/2006/relationships/hyperlink" Target="https://pm.stackexchange.com/questions/" TargetMode="External"/><Relationship Id="rId83" Type="http://schemas.openxmlformats.org/officeDocument/2006/relationships/hyperlink" Target="https://softwareengineering.stackexchange.com/questions/340712/how-can-user-story-maps-be-used-for-projects-with-heavy-backend-work-and-little" TargetMode="External"/><Relationship Id="rId86" Type="http://schemas.openxmlformats.org/officeDocument/2006/relationships/hyperlink" Target="https://pm.stackexchange.com/questions/22001/how-to-allocate-story-points-on-extremely-complex-user-stories" TargetMode="External"/><Relationship Id="rId85" Type="http://schemas.openxmlformats.org/officeDocument/2006/relationships/hyperlink" Target="https://pm.stackexchange.com/questions/" TargetMode="External"/><Relationship Id="rId88" Type="http://schemas.openxmlformats.org/officeDocument/2006/relationships/hyperlink" Target="https://pm.stackexchange.com/questions/" TargetMode="External"/><Relationship Id="rId150" Type="http://schemas.openxmlformats.org/officeDocument/2006/relationships/drawing" Target="../drawings/drawing1.xml"/><Relationship Id="rId87" Type="http://schemas.openxmlformats.org/officeDocument/2006/relationships/hyperlink" Target="https://pm.stackexchange.com/questions/" TargetMode="External"/><Relationship Id="rId89" Type="http://schemas.openxmlformats.org/officeDocument/2006/relationships/hyperlink" Target="https://pm.stackexchange.com/questions/" TargetMode="External"/><Relationship Id="rId80" Type="http://schemas.openxmlformats.org/officeDocument/2006/relationships/hyperlink" Target="https://softwareengineering.stackexchange.com/questions/" TargetMode="External"/><Relationship Id="rId82" Type="http://schemas.openxmlformats.org/officeDocument/2006/relationships/hyperlink" Target="https://softwareengineering.stackexchange.com/questions/" TargetMode="External"/><Relationship Id="rId81" Type="http://schemas.openxmlformats.org/officeDocument/2006/relationships/hyperlink" Target="https://softwareengineering.stackexchange.com/questions/354302/how-can-agile-be-applied-to-applications-involving-complex-processing" TargetMode="External"/><Relationship Id="rId1" Type="http://schemas.openxmlformats.org/officeDocument/2006/relationships/hyperlink" Target="https://pm.stackexchange.com/questions/" TargetMode="External"/><Relationship Id="rId2" Type="http://schemas.openxmlformats.org/officeDocument/2006/relationships/hyperlink" Target="https://softwareengineering.stackexchange.com/questions/" TargetMode="External"/><Relationship Id="rId3" Type="http://schemas.openxmlformats.org/officeDocument/2006/relationships/hyperlink" Target="https://softwareengineering.stackexchange.com/questions/118123/in-scrum-what-to-do-when-story-points-and-task-hours-dont-roughly-correlate" TargetMode="External"/><Relationship Id="rId149" Type="http://schemas.openxmlformats.org/officeDocument/2006/relationships/hyperlink" Target="https://pm.stackexchange.com/questions/34041/acceptance-criteria-for-user-story-on-interface-adapting-for-devices-with-differ" TargetMode="External"/><Relationship Id="rId4" Type="http://schemas.openxmlformats.org/officeDocument/2006/relationships/hyperlink" Target="https://pm.stackexchange.com/questions/" TargetMode="External"/><Relationship Id="rId148" Type="http://schemas.openxmlformats.org/officeDocument/2006/relationships/hyperlink" Target="https://pm.stackexchange.com/questions/" TargetMode="External"/><Relationship Id="rId9" Type="http://schemas.openxmlformats.org/officeDocument/2006/relationships/hyperlink" Target="https://pm.stackexchange.com/questions/" TargetMode="External"/><Relationship Id="rId143" Type="http://schemas.openxmlformats.org/officeDocument/2006/relationships/hyperlink" Target="https://sqa.stackexchange.com/questions/" TargetMode="External"/><Relationship Id="rId142" Type="http://schemas.openxmlformats.org/officeDocument/2006/relationships/hyperlink" Target="https://pm.stackexchange.com/questions/31666/how-to-implement-unit-testing-with-a-small-scrum-team-without-spending-half-the" TargetMode="External"/><Relationship Id="rId141" Type="http://schemas.openxmlformats.org/officeDocument/2006/relationships/hyperlink" Target="https://pm.stackexchange.com/questions/" TargetMode="External"/><Relationship Id="rId140" Type="http://schemas.openxmlformats.org/officeDocument/2006/relationships/hyperlink" Target="https://softwareengineering.stackexchange.com/questions/" TargetMode="External"/><Relationship Id="rId5" Type="http://schemas.openxmlformats.org/officeDocument/2006/relationships/hyperlink" Target="https://softwareengineering.stackexchange.com/questions/" TargetMode="External"/><Relationship Id="rId147" Type="http://schemas.openxmlformats.org/officeDocument/2006/relationships/hyperlink" Target="https://pm.stackexchange.com/questions/" TargetMode="External"/><Relationship Id="rId6" Type="http://schemas.openxmlformats.org/officeDocument/2006/relationships/hyperlink" Target="https://softwareengineering.stackexchange.com/questions/127213/agile-product-planning-alternatives-to-aid-goal-oriented-feature-quality" TargetMode="External"/><Relationship Id="rId146" Type="http://schemas.openxmlformats.org/officeDocument/2006/relationships/hyperlink" Target="https://softwareengineering.stackexchange.com/questions/194180/user-stories-are-too-high-level-and-conceptual-management-expects-developers-to" TargetMode="External"/><Relationship Id="rId7" Type="http://schemas.openxmlformats.org/officeDocument/2006/relationships/hyperlink" Target="https://pm.stackexchange.com/questions/" TargetMode="External"/><Relationship Id="rId145" Type="http://schemas.openxmlformats.org/officeDocument/2006/relationships/hyperlink" Target="https://softwareengineering.stackexchange.com/questions/" TargetMode="External"/><Relationship Id="rId8" Type="http://schemas.openxmlformats.org/officeDocument/2006/relationships/hyperlink" Target="https://pm.stackexchange.com/questions/" TargetMode="External"/><Relationship Id="rId144" Type="http://schemas.openxmlformats.org/officeDocument/2006/relationships/hyperlink" Target="https://sqa.stackexchange.com/questions/" TargetMode="External"/><Relationship Id="rId73" Type="http://schemas.openxmlformats.org/officeDocument/2006/relationships/hyperlink" Target="https://pm.stackexchange.com/questions/" TargetMode="External"/><Relationship Id="rId72" Type="http://schemas.openxmlformats.org/officeDocument/2006/relationships/hyperlink" Target="https://pm.stackexchange.com/questions/" TargetMode="External"/><Relationship Id="rId75" Type="http://schemas.openxmlformats.org/officeDocument/2006/relationships/hyperlink" Target="https://softwareengineering.stackexchange.com/questions/" TargetMode="External"/><Relationship Id="rId74" Type="http://schemas.openxmlformats.org/officeDocument/2006/relationships/hyperlink" Target="https://pm.stackexchange.com/questions/" TargetMode="External"/><Relationship Id="rId77" Type="http://schemas.openxmlformats.org/officeDocument/2006/relationships/hyperlink" Target="https://pm.stackexchange.com/questions/" TargetMode="External"/><Relationship Id="rId76" Type="http://schemas.openxmlformats.org/officeDocument/2006/relationships/hyperlink" Target="https://pm.stackexchange.com/questions/" TargetMode="External"/><Relationship Id="rId79" Type="http://schemas.openxmlformats.org/officeDocument/2006/relationships/hyperlink" Target="https://pm.stackexchange.com/questions/" TargetMode="External"/><Relationship Id="rId78" Type="http://schemas.openxmlformats.org/officeDocument/2006/relationships/hyperlink" Target="https://pm.stackexchange.com/questions/" TargetMode="External"/><Relationship Id="rId71" Type="http://schemas.openxmlformats.org/officeDocument/2006/relationships/hyperlink" Target="https://softwareengineering.stackexchange.com/questions/315641/dev-and-tester-separated-team-and-single-sprint" TargetMode="External"/><Relationship Id="rId70" Type="http://schemas.openxmlformats.org/officeDocument/2006/relationships/hyperlink" Target="https://softwareengineering.stackexchange.com/questions/" TargetMode="External"/><Relationship Id="rId139" Type="http://schemas.openxmlformats.org/officeDocument/2006/relationships/hyperlink" Target="https://softwareengineering.stackexchange.com/questions/" TargetMode="External"/><Relationship Id="rId138" Type="http://schemas.openxmlformats.org/officeDocument/2006/relationships/hyperlink" Target="https://pm.stackexchange.com/questions/31614/how-to-incorporate-ux-ui-in-sprint-correctly-when-mockups-are-required-to-estima" TargetMode="External"/><Relationship Id="rId137" Type="http://schemas.openxmlformats.org/officeDocument/2006/relationships/hyperlink" Target="https://pm.stackexchange.com/questions/" TargetMode="External"/><Relationship Id="rId132" Type="http://schemas.openxmlformats.org/officeDocument/2006/relationships/hyperlink" Target="https://pm.stackexchange.com/questions/25744/lingua-franca-for-technical-stories" TargetMode="External"/><Relationship Id="rId131" Type="http://schemas.openxmlformats.org/officeDocument/2006/relationships/hyperlink" Target="https://pm.stackexchange.com/questions/" TargetMode="External"/><Relationship Id="rId130" Type="http://schemas.openxmlformats.org/officeDocument/2006/relationships/hyperlink" Target="https://pm.stackexchange.com/questions/" TargetMode="External"/><Relationship Id="rId136" Type="http://schemas.openxmlformats.org/officeDocument/2006/relationships/hyperlink" Target="https://softwareengineering.stackexchange.com/questions/403583/how-to-determine-the-cost-of-a-story-point" TargetMode="External"/><Relationship Id="rId135" Type="http://schemas.openxmlformats.org/officeDocument/2006/relationships/hyperlink" Target="https://softwareengineering.stackexchange.com/questions/" TargetMode="External"/><Relationship Id="rId134" Type="http://schemas.openxmlformats.org/officeDocument/2006/relationships/hyperlink" Target="https://pm.stackexchange.com/questions/30061/how-do-you-estimate-epics" TargetMode="External"/><Relationship Id="rId133" Type="http://schemas.openxmlformats.org/officeDocument/2006/relationships/hyperlink" Target="https://pm.stackexchange.com/questions/" TargetMode="External"/><Relationship Id="rId62" Type="http://schemas.openxmlformats.org/officeDocument/2006/relationships/hyperlink" Target="https://softwareengineering.stackexchange.com/questions/" TargetMode="External"/><Relationship Id="rId61" Type="http://schemas.openxmlformats.org/officeDocument/2006/relationships/hyperlink" Target="https://softwareengineering.stackexchange.com/questions/" TargetMode="External"/><Relationship Id="rId64" Type="http://schemas.openxmlformats.org/officeDocument/2006/relationships/hyperlink" Target="https://pm.stackexchange.com/questions/" TargetMode="External"/><Relationship Id="rId63" Type="http://schemas.openxmlformats.org/officeDocument/2006/relationships/hyperlink" Target="https://softwareengineering.stackexchange.com/questions/" TargetMode="External"/><Relationship Id="rId66" Type="http://schemas.openxmlformats.org/officeDocument/2006/relationships/hyperlink" Target="https://softwareengineering.stackexchange.com/questions/228110/disadvantages-of-vertical-user-stories" TargetMode="External"/><Relationship Id="rId65" Type="http://schemas.openxmlformats.org/officeDocument/2006/relationships/hyperlink" Target="https://softwareengineering.stackexchange.com/questions/" TargetMode="External"/><Relationship Id="rId68" Type="http://schemas.openxmlformats.org/officeDocument/2006/relationships/hyperlink" Target="https://softwareengineering.stackexchange.com/questions/" TargetMode="External"/><Relationship Id="rId67" Type="http://schemas.openxmlformats.org/officeDocument/2006/relationships/hyperlink" Target="https://softwareengineering.stackexchange.com/questions/" TargetMode="External"/><Relationship Id="rId60" Type="http://schemas.openxmlformats.org/officeDocument/2006/relationships/hyperlink" Target="https://softwareengineering.stackexchange.com/questions/" TargetMode="External"/><Relationship Id="rId69" Type="http://schemas.openxmlformats.org/officeDocument/2006/relationships/hyperlink" Target="https://softwareengineering.stackexchange.com/questions/232488/ux-designers-working-one-sprint-ahead" TargetMode="External"/><Relationship Id="rId51" Type="http://schemas.openxmlformats.org/officeDocument/2006/relationships/hyperlink" Target="https://softwareengineering.stackexchange.com/questions/234758/the-place-of-ui-design-when-estimating-and-elaborating-user-stories" TargetMode="External"/><Relationship Id="rId50" Type="http://schemas.openxmlformats.org/officeDocument/2006/relationships/hyperlink" Target="https://softwareengineering.stackexchange.com/questions/" TargetMode="External"/><Relationship Id="rId53" Type="http://schemas.openxmlformats.org/officeDocument/2006/relationships/hyperlink" Target="https://softwareengineering.stackexchange.com/questions/240325/should-a-user-story-be-shared-between-developers" TargetMode="External"/><Relationship Id="rId52" Type="http://schemas.openxmlformats.org/officeDocument/2006/relationships/hyperlink" Target="https://softwareengineering.stackexchange.com/questions/" TargetMode="External"/><Relationship Id="rId55" Type="http://schemas.openxmlformats.org/officeDocument/2006/relationships/hyperlink" Target="https://pm.stackexchange.com/questions/11247/why-not-use-costs-instead-of-story-points-for-estimation" TargetMode="External"/><Relationship Id="rId54" Type="http://schemas.openxmlformats.org/officeDocument/2006/relationships/hyperlink" Target="https://pm.stackexchange.com/questions/" TargetMode="External"/><Relationship Id="rId57" Type="http://schemas.openxmlformats.org/officeDocument/2006/relationships/hyperlink" Target="https://pm.stackexchange.com/questions/" TargetMode="External"/><Relationship Id="rId56" Type="http://schemas.openxmlformats.org/officeDocument/2006/relationships/hyperlink" Target="https://softwareengineering.stackexchange.com/questions/" TargetMode="External"/><Relationship Id="rId59" Type="http://schemas.openxmlformats.org/officeDocument/2006/relationships/hyperlink" Target="https://softwareengineering.stackexchange.com/questions/" TargetMode="External"/><Relationship Id="rId58" Type="http://schemas.openxmlformats.org/officeDocument/2006/relationships/hyperlink" Target="https://pm.stackexchange.com/questions/12641/what-is-the-way-to-go-to-create-tasks" TargetMode="External"/></Relationships>
</file>

<file path=xl/worksheets/_rels/sheet2.xml.rels><?xml version="1.0" encoding="UTF-8" standalone="yes"?><Relationships xmlns="http://schemas.openxmlformats.org/package/2006/relationships"><Relationship Id="rId31" Type="http://schemas.openxmlformats.org/officeDocument/2006/relationships/hyperlink" Target="https://softwareengineering.stackexchange.com/questions/106966/in-scrum-why-shouldnt-the-product-owner-and-scrummaster-roles-be-combined" TargetMode="External"/><Relationship Id="rId30" Type="http://schemas.openxmlformats.org/officeDocument/2006/relationships/hyperlink" Target="https://softwareengineering.stackexchange.com/questions/" TargetMode="External"/><Relationship Id="rId33" Type="http://schemas.openxmlformats.org/officeDocument/2006/relationships/hyperlink" Target="https://softwareengineering.stackexchange.com/questions/108204/the-business-and-architecture-challenge-behind-creating-effective-user-stories" TargetMode="External"/><Relationship Id="rId32" Type="http://schemas.openxmlformats.org/officeDocument/2006/relationships/hyperlink" Target="https://softwareengineering.stackexchange.com/questions/" TargetMode="External"/><Relationship Id="rId35" Type="http://schemas.openxmlformats.org/officeDocument/2006/relationships/hyperlink" Target="https://softwareengineering.stackexchange.com/questions/118123/in-scrum-what-to-do-when-story-points-and-task-hours-dont-roughly-correlate" TargetMode="External"/><Relationship Id="rId34" Type="http://schemas.openxmlformats.org/officeDocument/2006/relationships/hyperlink" Target="https://softwareengineering.stackexchange.com/questions/" TargetMode="External"/><Relationship Id="rId37" Type="http://schemas.openxmlformats.org/officeDocument/2006/relationships/hyperlink" Target="https://softwareengineering.stackexchange.com/questions/127213/agile-product-planning-alternatives-to-aid-goal-oriented-feature-quality" TargetMode="External"/><Relationship Id="rId36" Type="http://schemas.openxmlformats.org/officeDocument/2006/relationships/hyperlink" Target="https://softwareengineering.stackexchange.com/questions/" TargetMode="External"/><Relationship Id="rId38" Type="http://schemas.openxmlformats.org/officeDocument/2006/relationships/drawing" Target="../drawings/drawing2.xml"/><Relationship Id="rId20" Type="http://schemas.openxmlformats.org/officeDocument/2006/relationships/hyperlink" Target="https://pm.stackexchange.com/questions/8185/managing-a-product-owner-in-a-not-yet-agile-organization" TargetMode="External"/><Relationship Id="rId22" Type="http://schemas.openxmlformats.org/officeDocument/2006/relationships/hyperlink" Target="https://pm.stackexchange.com/questions/8286/is-there-any-pm-methodology-that-works-well-on-large-projects" TargetMode="External"/><Relationship Id="rId21" Type="http://schemas.openxmlformats.org/officeDocument/2006/relationships/hyperlink" Target="https://pm.stackexchange.com/questions/" TargetMode="External"/><Relationship Id="rId24" Type="http://schemas.openxmlformats.org/officeDocument/2006/relationships/hyperlink" Target="https://pm.stackexchange.com/questions/28228/how-should-a-scrum-master-handle-disagreements-about-story-point-estimates-in-sc" TargetMode="External"/><Relationship Id="rId23" Type="http://schemas.openxmlformats.org/officeDocument/2006/relationships/hyperlink" Target="https://pm.stackexchange.com/questions/" TargetMode="External"/><Relationship Id="rId26" Type="http://schemas.openxmlformats.org/officeDocument/2006/relationships/hyperlink" Target="https://pm.stackexchange.com/questions/" TargetMode="External"/><Relationship Id="rId25" Type="http://schemas.openxmlformats.org/officeDocument/2006/relationships/hyperlink" Target="https://pm.stackexchange.com/questions/" TargetMode="External"/><Relationship Id="rId28" Type="http://schemas.openxmlformats.org/officeDocument/2006/relationships/hyperlink" Target="https://softwareengineering.stackexchange.com/questions/" TargetMode="External"/><Relationship Id="rId27" Type="http://schemas.openxmlformats.org/officeDocument/2006/relationships/hyperlink" Target="https://pm.stackexchange.com/questions/9878/how-can-i-manage-both-user-stories-and-other-non-backlog-tasks-if-using-versiono" TargetMode="External"/><Relationship Id="rId29" Type="http://schemas.openxmlformats.org/officeDocument/2006/relationships/hyperlink" Target="https://softwareengineering.stackexchange.com/questions/86974/company-wants-to-write-custom-project-management-tool-rather-than-use-third-par" TargetMode="External"/><Relationship Id="rId11" Type="http://schemas.openxmlformats.org/officeDocument/2006/relationships/hyperlink" Target="https://softwareengineering.stackexchange.com/questions" TargetMode="External"/><Relationship Id="rId10" Type="http://schemas.openxmlformats.org/officeDocument/2006/relationships/hyperlink" Target="https://softwareengineering.stackexchange.com/questions/76191/how-do-you-handle-non-functional-work-with-scrum-in-embedded-eystems" TargetMode="External"/><Relationship Id="rId13" Type="http://schemas.openxmlformats.org/officeDocument/2006/relationships/hyperlink" Target="https://sqa.stackexchange.com/questions" TargetMode="External"/><Relationship Id="rId12" Type="http://schemas.openxmlformats.org/officeDocument/2006/relationships/hyperlink" Target="https://softwareengineering.stackexchange.com/questions/41750/many-user-stories-share-the-same-technical-tasks-what-to-do" TargetMode="External"/><Relationship Id="rId15" Type="http://schemas.openxmlformats.org/officeDocument/2006/relationships/hyperlink" Target="https://sqa.stackexchange.com/questions" TargetMode="External"/><Relationship Id="rId14" Type="http://schemas.openxmlformats.org/officeDocument/2006/relationships/hyperlink" Target="https://sqa.stackexchange.com/questions/38429/how-to-deal-with-or-prevent-idle-in-the-test-team/38430" TargetMode="External"/><Relationship Id="rId17" Type="http://schemas.openxmlformats.org/officeDocument/2006/relationships/hyperlink" Target="https://sqa.stackexchange.com/questions" TargetMode="External"/><Relationship Id="rId16" Type="http://schemas.openxmlformats.org/officeDocument/2006/relationships/hyperlink" Target="https://sqa.stackexchange.com/questions/28211/how-to-respond-to-a-suggestion-from-management-to-stop-writing-manual-test-cases" TargetMode="External"/><Relationship Id="rId19" Type="http://schemas.openxmlformats.org/officeDocument/2006/relationships/hyperlink" Target="https://pm.stackexchange.com/questions/" TargetMode="External"/><Relationship Id="rId18" Type="http://schemas.openxmlformats.org/officeDocument/2006/relationships/hyperlink" Target="https://sqa.stackexchange.com/questions/560/techniques-to-write-good-acceptance-criteria-for-user-stories" TargetMode="External"/><Relationship Id="rId1" Type="http://schemas.openxmlformats.org/officeDocument/2006/relationships/hyperlink" Target="https://pm.stackexchange.com/questions" TargetMode="External"/><Relationship Id="rId2" Type="http://schemas.openxmlformats.org/officeDocument/2006/relationships/hyperlink" Target="https://pm.stackexchange.com/questions/7953/how-to-keep-all-the-developers-on-the-same-page-in-scrum" TargetMode="External"/><Relationship Id="rId3" Type="http://schemas.openxmlformats.org/officeDocument/2006/relationships/hyperlink" Target="https://pm.stackexchange.com/questions" TargetMode="External"/><Relationship Id="rId4" Type="http://schemas.openxmlformats.org/officeDocument/2006/relationships/hyperlink" Target="https://pm.stackexchange.com/questions/5376/is-estimating-a-project-without-basic-requirements-or-user-stories-a-good-idea-f" TargetMode="External"/><Relationship Id="rId9" Type="http://schemas.openxmlformats.org/officeDocument/2006/relationships/hyperlink" Target="https://softwareengineering.stackexchange.com/questions" TargetMode="External"/><Relationship Id="rId5" Type="http://schemas.openxmlformats.org/officeDocument/2006/relationships/hyperlink" Target="https://pm.stackexchange.com/questions" TargetMode="External"/><Relationship Id="rId6" Type="http://schemas.openxmlformats.org/officeDocument/2006/relationships/hyperlink" Target="https://pm.stackexchange.com/questions/3017/where-should-design-be-incorporated-in-an-agile-process" TargetMode="External"/><Relationship Id="rId7" Type="http://schemas.openxmlformats.org/officeDocument/2006/relationships/hyperlink" Target="https://softwareengineering.stackexchange.com/questions" TargetMode="External"/><Relationship Id="rId8" Type="http://schemas.openxmlformats.org/officeDocument/2006/relationships/hyperlink" Target="https://softwareengineering.stackexchange.com/questions/82429/is-fpa-incompatible-with-agil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88"/>
    <col customWidth="1" min="2" max="2" width="29.0"/>
    <col customWidth="1" min="3" max="3" width="9.13"/>
    <col customWidth="1" min="4" max="4" width="35.0"/>
    <col customWidth="1" min="5" max="5" width="49.13"/>
    <col customWidth="1" min="6" max="6" width="16.13"/>
    <col customWidth="1" min="7" max="7" width="13.5"/>
    <col customWidth="1" min="8" max="8" width="16.38"/>
  </cols>
  <sheetData>
    <row r="1" ht="15.75" customHeight="1">
      <c r="A1" s="1" t="s">
        <v>0</v>
      </c>
      <c r="B1" s="1" t="s">
        <v>1</v>
      </c>
      <c r="C1" s="1" t="s">
        <v>2</v>
      </c>
      <c r="D1" s="2" t="s">
        <v>3</v>
      </c>
      <c r="E1" s="1" t="s">
        <v>4</v>
      </c>
      <c r="F1" s="1" t="s">
        <v>5</v>
      </c>
      <c r="G1" s="1" t="s">
        <v>6</v>
      </c>
      <c r="H1" s="2" t="s">
        <v>7</v>
      </c>
    </row>
    <row r="2" ht="15.75" customHeight="1">
      <c r="A2" s="3">
        <v>26493.0</v>
      </c>
      <c r="B2" s="4" t="s">
        <v>8</v>
      </c>
      <c r="C2" s="4"/>
      <c r="D2" s="5" t="s">
        <v>9</v>
      </c>
      <c r="E2" s="6" t="s">
        <v>10</v>
      </c>
      <c r="F2" s="7" t="s">
        <v>11</v>
      </c>
      <c r="G2" s="4"/>
      <c r="H2" s="4"/>
      <c r="I2" s="8"/>
    </row>
    <row r="3" ht="15.75" customHeight="1">
      <c r="A3" s="9">
        <v>118123.0</v>
      </c>
      <c r="B3" s="4" t="s">
        <v>12</v>
      </c>
      <c r="C3" s="4"/>
      <c r="D3" s="5" t="s">
        <v>13</v>
      </c>
      <c r="E3" s="10" t="s">
        <v>14</v>
      </c>
      <c r="F3" s="7" t="s">
        <v>15</v>
      </c>
      <c r="G3" s="3">
        <v>2011.0</v>
      </c>
      <c r="H3" s="3">
        <v>2011.0</v>
      </c>
      <c r="I3" s="8"/>
    </row>
    <row r="4" ht="15.75" customHeight="1">
      <c r="A4" s="3">
        <v>26940.0</v>
      </c>
      <c r="B4" s="4" t="s">
        <v>8</v>
      </c>
      <c r="C4" s="4"/>
      <c r="D4" s="5" t="s">
        <v>9</v>
      </c>
      <c r="E4" s="6" t="s">
        <v>16</v>
      </c>
      <c r="F4" s="7" t="s">
        <v>11</v>
      </c>
      <c r="G4" s="4"/>
      <c r="H4" s="4"/>
      <c r="I4" s="8"/>
    </row>
    <row r="5" ht="15.75" customHeight="1">
      <c r="A5" s="9">
        <v>127213.0</v>
      </c>
      <c r="B5" s="4" t="s">
        <v>12</v>
      </c>
      <c r="C5" s="4"/>
      <c r="D5" s="5" t="s">
        <v>13</v>
      </c>
      <c r="E5" s="11" t="s">
        <v>17</v>
      </c>
      <c r="F5" s="7" t="s">
        <v>15</v>
      </c>
      <c r="G5" s="3">
        <v>2011.0</v>
      </c>
      <c r="H5" s="3">
        <v>2011.0</v>
      </c>
    </row>
    <row r="6" ht="15.75" customHeight="1">
      <c r="A6" s="3">
        <v>29484.0</v>
      </c>
      <c r="B6" s="4" t="s">
        <v>8</v>
      </c>
      <c r="C6" s="4"/>
      <c r="D6" s="5" t="s">
        <v>9</v>
      </c>
      <c r="E6" s="6" t="s">
        <v>18</v>
      </c>
      <c r="F6" s="7" t="s">
        <v>11</v>
      </c>
      <c r="G6" s="4"/>
      <c r="H6" s="4"/>
    </row>
    <row r="7" ht="15.75" customHeight="1">
      <c r="A7" s="3">
        <v>29486.0</v>
      </c>
      <c r="B7" s="4" t="s">
        <v>8</v>
      </c>
      <c r="C7" s="4"/>
      <c r="D7" s="5" t="s">
        <v>9</v>
      </c>
      <c r="E7" s="12" t="s">
        <v>19</v>
      </c>
      <c r="F7" s="7" t="s">
        <v>11</v>
      </c>
      <c r="G7" s="4"/>
      <c r="H7" s="4"/>
    </row>
    <row r="8" ht="15.75" customHeight="1">
      <c r="A8" s="3">
        <v>29983.0</v>
      </c>
      <c r="B8" s="4" t="s">
        <v>8</v>
      </c>
      <c r="C8" s="4"/>
      <c r="D8" s="5" t="s">
        <v>9</v>
      </c>
      <c r="E8" s="6" t="s">
        <v>20</v>
      </c>
      <c r="F8" s="7" t="s">
        <v>11</v>
      </c>
      <c r="G8" s="4"/>
      <c r="H8" s="4"/>
    </row>
    <row r="9" ht="15.75" customHeight="1">
      <c r="A9" s="9">
        <v>41750.0</v>
      </c>
      <c r="B9" s="4" t="s">
        <v>12</v>
      </c>
      <c r="C9" s="4"/>
      <c r="D9" s="5" t="s">
        <v>13</v>
      </c>
      <c r="E9" s="10" t="s">
        <v>21</v>
      </c>
      <c r="F9" s="7" t="s">
        <v>15</v>
      </c>
      <c r="G9" s="3">
        <v>2011.0</v>
      </c>
      <c r="H9" s="3">
        <v>2011.0</v>
      </c>
    </row>
    <row r="10" ht="15.75" customHeight="1">
      <c r="A10" s="3">
        <v>30112.0</v>
      </c>
      <c r="B10" s="4" t="s">
        <v>8</v>
      </c>
      <c r="C10" s="4"/>
      <c r="D10" s="5" t="s">
        <v>9</v>
      </c>
      <c r="E10" s="6" t="s">
        <v>22</v>
      </c>
      <c r="F10" s="7" t="s">
        <v>11</v>
      </c>
      <c r="G10" s="4"/>
      <c r="H10" s="4"/>
    </row>
    <row r="11" ht="15.75" customHeight="1">
      <c r="A11" s="3">
        <v>30538.0</v>
      </c>
      <c r="B11" s="4" t="s">
        <v>8</v>
      </c>
      <c r="C11" s="4"/>
      <c r="D11" s="5" t="s">
        <v>9</v>
      </c>
      <c r="E11" s="12" t="s">
        <v>23</v>
      </c>
      <c r="F11" s="7" t="s">
        <v>11</v>
      </c>
      <c r="G11" s="4"/>
      <c r="H11" s="4"/>
    </row>
    <row r="12" ht="15.75" customHeight="1">
      <c r="A12" s="9">
        <v>560.0</v>
      </c>
      <c r="B12" s="4" t="s">
        <v>24</v>
      </c>
      <c r="C12" s="4"/>
      <c r="D12" s="5" t="s">
        <v>25</v>
      </c>
      <c r="E12" s="6" t="s">
        <v>26</v>
      </c>
      <c r="F12" s="7" t="s">
        <v>15</v>
      </c>
      <c r="G12" s="3">
        <v>2011.0</v>
      </c>
      <c r="H12" s="3">
        <v>2011.0</v>
      </c>
    </row>
    <row r="13" ht="15.75" customHeight="1">
      <c r="A13" s="9">
        <v>3017.0</v>
      </c>
      <c r="B13" s="4" t="s">
        <v>8</v>
      </c>
      <c r="C13" s="4"/>
      <c r="D13" s="5" t="s">
        <v>9</v>
      </c>
      <c r="E13" s="10" t="s">
        <v>27</v>
      </c>
      <c r="F13" s="7" t="s">
        <v>15</v>
      </c>
      <c r="G13" s="3">
        <v>2011.0</v>
      </c>
      <c r="H13" s="3">
        <v>2011.0</v>
      </c>
    </row>
    <row r="14" ht="15.75" customHeight="1">
      <c r="A14" s="9">
        <v>147937.0</v>
      </c>
      <c r="B14" s="4" t="s">
        <v>12</v>
      </c>
      <c r="C14" s="4"/>
      <c r="D14" s="5" t="s">
        <v>13</v>
      </c>
      <c r="E14" s="10" t="s">
        <v>28</v>
      </c>
      <c r="F14" s="7" t="s">
        <v>15</v>
      </c>
      <c r="G14" s="3">
        <v>2012.0</v>
      </c>
      <c r="H14" s="3">
        <v>2012.0</v>
      </c>
    </row>
    <row r="15" ht="15.75" customHeight="1">
      <c r="A15" s="3">
        <v>35439.0</v>
      </c>
      <c r="B15" s="4" t="s">
        <v>8</v>
      </c>
      <c r="C15" s="4"/>
      <c r="D15" s="5" t="s">
        <v>9</v>
      </c>
      <c r="E15" s="12" t="s">
        <v>29</v>
      </c>
      <c r="F15" s="7" t="s">
        <v>11</v>
      </c>
      <c r="G15" s="4"/>
      <c r="H15" s="4"/>
    </row>
    <row r="16" ht="15.75" customHeight="1">
      <c r="A16" s="3">
        <v>341782.0</v>
      </c>
      <c r="B16" s="4" t="s">
        <v>12</v>
      </c>
      <c r="C16" s="4"/>
      <c r="D16" s="5" t="s">
        <v>13</v>
      </c>
      <c r="E16" s="6" t="s">
        <v>30</v>
      </c>
      <c r="F16" s="7" t="s">
        <v>11</v>
      </c>
      <c r="G16" s="4"/>
      <c r="H16" s="4"/>
    </row>
    <row r="17" ht="15.75" customHeight="1">
      <c r="A17" s="3">
        <v>343411.0</v>
      </c>
      <c r="B17" s="4" t="s">
        <v>12</v>
      </c>
      <c r="C17" s="4"/>
      <c r="D17" s="5" t="s">
        <v>13</v>
      </c>
      <c r="E17" s="12" t="s">
        <v>31</v>
      </c>
      <c r="F17" s="7" t="s">
        <v>11</v>
      </c>
      <c r="G17" s="4"/>
      <c r="H17" s="4"/>
    </row>
    <row r="18" ht="15.75" customHeight="1">
      <c r="A18" s="3">
        <v>348860.0</v>
      </c>
      <c r="B18" s="4" t="s">
        <v>12</v>
      </c>
      <c r="C18" s="4"/>
      <c r="D18" s="5" t="s">
        <v>13</v>
      </c>
      <c r="E18" s="6" t="s">
        <v>32</v>
      </c>
      <c r="F18" s="7" t="s">
        <v>11</v>
      </c>
      <c r="G18" s="4"/>
      <c r="H18" s="4"/>
    </row>
    <row r="19" ht="15.75" customHeight="1">
      <c r="A19" s="3">
        <v>352036.0</v>
      </c>
      <c r="B19" s="4" t="s">
        <v>12</v>
      </c>
      <c r="C19" s="4"/>
      <c r="D19" s="5" t="s">
        <v>13</v>
      </c>
      <c r="E19" s="12" t="s">
        <v>33</v>
      </c>
      <c r="F19" s="7" t="s">
        <v>11</v>
      </c>
      <c r="G19" s="4"/>
      <c r="H19" s="4"/>
    </row>
    <row r="20" ht="15.75" customHeight="1">
      <c r="A20" s="9">
        <v>7953.0</v>
      </c>
      <c r="B20" s="4" t="s">
        <v>8</v>
      </c>
      <c r="C20" s="4"/>
      <c r="D20" s="5" t="s">
        <v>9</v>
      </c>
      <c r="E20" s="10" t="s">
        <v>34</v>
      </c>
      <c r="F20" s="7" t="s">
        <v>15</v>
      </c>
      <c r="G20" s="3">
        <v>2012.0</v>
      </c>
      <c r="H20" s="3">
        <v>2012.0</v>
      </c>
    </row>
    <row r="21" ht="15.75" customHeight="1">
      <c r="A21" s="3">
        <v>357368.0</v>
      </c>
      <c r="B21" s="4" t="s">
        <v>12</v>
      </c>
      <c r="C21" s="4"/>
      <c r="D21" s="5" t="s">
        <v>13</v>
      </c>
      <c r="E21" s="12" t="s">
        <v>35</v>
      </c>
      <c r="F21" s="7" t="s">
        <v>11</v>
      </c>
      <c r="G21" s="4"/>
      <c r="H21" s="4"/>
    </row>
    <row r="22" ht="15.75" customHeight="1">
      <c r="A22" s="3">
        <v>368658.0</v>
      </c>
      <c r="B22" s="4" t="s">
        <v>12</v>
      </c>
      <c r="C22" s="4"/>
      <c r="D22" s="5" t="s">
        <v>13</v>
      </c>
      <c r="E22" s="6" t="s">
        <v>36</v>
      </c>
      <c r="F22" s="7" t="s">
        <v>11</v>
      </c>
      <c r="G22" s="4"/>
      <c r="H22" s="4"/>
    </row>
    <row r="23" ht="15.75" customHeight="1">
      <c r="A23" s="3">
        <v>373686.0</v>
      </c>
      <c r="B23" s="4" t="s">
        <v>12</v>
      </c>
      <c r="C23" s="4"/>
      <c r="D23" s="5" t="s">
        <v>13</v>
      </c>
      <c r="E23" s="12" t="s">
        <v>37</v>
      </c>
      <c r="F23" s="7" t="s">
        <v>11</v>
      </c>
      <c r="G23" s="4"/>
      <c r="H23" s="4"/>
    </row>
    <row r="24" ht="15.75" customHeight="1">
      <c r="A24" s="3">
        <v>385949.0</v>
      </c>
      <c r="B24" s="4" t="s">
        <v>12</v>
      </c>
      <c r="C24" s="4"/>
      <c r="D24" s="5" t="s">
        <v>13</v>
      </c>
      <c r="E24" s="4" t="s">
        <v>38</v>
      </c>
      <c r="F24" s="7" t="s">
        <v>11</v>
      </c>
      <c r="G24" s="4"/>
      <c r="H24" s="4"/>
    </row>
    <row r="25" ht="15.75" customHeight="1">
      <c r="A25" s="3">
        <v>386016.0</v>
      </c>
      <c r="B25" s="4" t="s">
        <v>12</v>
      </c>
      <c r="C25" s="4"/>
      <c r="D25" s="5" t="s">
        <v>13</v>
      </c>
      <c r="E25" s="12" t="s">
        <v>39</v>
      </c>
      <c r="F25" s="7" t="s">
        <v>11</v>
      </c>
      <c r="G25" s="4"/>
      <c r="H25" s="4"/>
    </row>
    <row r="26" ht="15.75" customHeight="1">
      <c r="A26" s="3">
        <v>388522.0</v>
      </c>
      <c r="B26" s="4" t="s">
        <v>12</v>
      </c>
      <c r="C26" s="4"/>
      <c r="D26" s="5" t="s">
        <v>13</v>
      </c>
      <c r="E26" s="6" t="s">
        <v>40</v>
      </c>
      <c r="F26" s="7" t="s">
        <v>11</v>
      </c>
      <c r="G26" s="4"/>
      <c r="H26" s="4"/>
    </row>
    <row r="27" ht="15.75" customHeight="1">
      <c r="A27" s="3">
        <v>389899.0</v>
      </c>
      <c r="B27" s="4" t="s">
        <v>12</v>
      </c>
      <c r="C27" s="4"/>
      <c r="D27" s="5" t="s">
        <v>13</v>
      </c>
      <c r="E27" s="4" t="s">
        <v>41</v>
      </c>
      <c r="F27" s="7" t="s">
        <v>11</v>
      </c>
      <c r="G27" s="4"/>
      <c r="H27" s="4"/>
    </row>
    <row r="28" ht="15.75" customHeight="1">
      <c r="A28" s="9">
        <v>127300.0</v>
      </c>
      <c r="B28" s="4" t="s">
        <v>12</v>
      </c>
      <c r="C28" s="4"/>
      <c r="D28" s="5" t="s">
        <v>13</v>
      </c>
      <c r="E28" s="10" t="s">
        <v>42</v>
      </c>
      <c r="F28" s="7" t="s">
        <v>15</v>
      </c>
      <c r="G28" s="3">
        <v>2011.0</v>
      </c>
      <c r="H28" s="3">
        <v>2012.0</v>
      </c>
    </row>
    <row r="29" ht="15.75" customHeight="1">
      <c r="A29" s="9">
        <v>8410.0</v>
      </c>
      <c r="B29" s="4" t="s">
        <v>8</v>
      </c>
      <c r="C29" s="4"/>
      <c r="D29" s="5" t="s">
        <v>9</v>
      </c>
      <c r="E29" s="11" t="s">
        <v>43</v>
      </c>
      <c r="F29" s="7" t="s">
        <v>15</v>
      </c>
      <c r="G29" s="3">
        <v>2013.0</v>
      </c>
      <c r="H29" s="3">
        <v>2013.0</v>
      </c>
    </row>
    <row r="30" ht="15.75" customHeight="1">
      <c r="A30" s="9">
        <v>8679.0</v>
      </c>
      <c r="B30" s="4" t="s">
        <v>8</v>
      </c>
      <c r="C30" s="4"/>
      <c r="D30" s="5" t="s">
        <v>9</v>
      </c>
      <c r="E30" s="10" t="s">
        <v>44</v>
      </c>
      <c r="F30" s="7" t="s">
        <v>15</v>
      </c>
      <c r="G30" s="3">
        <v>2013.0</v>
      </c>
      <c r="H30" s="3">
        <v>2013.0</v>
      </c>
    </row>
    <row r="31" ht="15.75" customHeight="1">
      <c r="A31" s="9">
        <v>9878.0</v>
      </c>
      <c r="B31" s="4" t="s">
        <v>8</v>
      </c>
      <c r="C31" s="4"/>
      <c r="D31" s="5" t="s">
        <v>9</v>
      </c>
      <c r="E31" s="11" t="s">
        <v>45</v>
      </c>
      <c r="F31" s="7" t="s">
        <v>15</v>
      </c>
      <c r="G31" s="3">
        <v>2013.0</v>
      </c>
      <c r="H31" s="3">
        <v>2013.0</v>
      </c>
    </row>
    <row r="32" ht="15.75" customHeight="1">
      <c r="A32" s="3">
        <v>409682.0</v>
      </c>
      <c r="B32" s="4" t="s">
        <v>12</v>
      </c>
      <c r="C32" s="4"/>
      <c r="D32" s="5" t="s">
        <v>13</v>
      </c>
      <c r="E32" s="6" t="s">
        <v>46</v>
      </c>
      <c r="F32" s="7" t="s">
        <v>11</v>
      </c>
      <c r="G32" s="4"/>
      <c r="H32" s="4"/>
    </row>
    <row r="33" ht="15.75" customHeight="1">
      <c r="A33" s="3">
        <v>410482.0</v>
      </c>
      <c r="B33" s="4" t="s">
        <v>12</v>
      </c>
      <c r="C33" s="4"/>
      <c r="D33" s="5" t="s">
        <v>13</v>
      </c>
      <c r="E33" s="12" t="s">
        <v>47</v>
      </c>
      <c r="F33" s="7" t="s">
        <v>11</v>
      </c>
      <c r="G33" s="4"/>
      <c r="H33" s="4"/>
    </row>
    <row r="34" ht="15.75" customHeight="1">
      <c r="A34" s="3">
        <v>429489.0</v>
      </c>
      <c r="B34" s="4" t="s">
        <v>12</v>
      </c>
      <c r="C34" s="4"/>
      <c r="D34" s="5" t="s">
        <v>13</v>
      </c>
      <c r="E34" s="6" t="s">
        <v>48</v>
      </c>
      <c r="F34" s="7" t="s">
        <v>49</v>
      </c>
      <c r="G34" s="4"/>
      <c r="H34" s="4"/>
    </row>
    <row r="35" ht="15.75" customHeight="1">
      <c r="A35" s="3">
        <v>429954.0</v>
      </c>
      <c r="B35" s="4" t="s">
        <v>12</v>
      </c>
      <c r="C35" s="4"/>
      <c r="D35" s="5" t="s">
        <v>13</v>
      </c>
      <c r="E35" s="12" t="s">
        <v>50</v>
      </c>
      <c r="F35" s="7" t="s">
        <v>11</v>
      </c>
      <c r="G35" s="4"/>
      <c r="H35" s="4"/>
    </row>
    <row r="36" ht="15.75" customHeight="1">
      <c r="A36" s="3">
        <v>433122.0</v>
      </c>
      <c r="B36" s="4" t="s">
        <v>12</v>
      </c>
      <c r="C36" s="4"/>
      <c r="D36" s="5" t="s">
        <v>13</v>
      </c>
      <c r="E36" s="6" t="s">
        <v>51</v>
      </c>
      <c r="F36" s="7" t="s">
        <v>11</v>
      </c>
      <c r="G36" s="4"/>
      <c r="H36" s="4"/>
    </row>
    <row r="37" ht="15.75" customHeight="1">
      <c r="A37" s="3">
        <v>441034.0</v>
      </c>
      <c r="B37" s="4" t="s">
        <v>12</v>
      </c>
      <c r="C37" s="4"/>
      <c r="D37" s="5" t="s">
        <v>13</v>
      </c>
      <c r="E37" s="12" t="s">
        <v>52</v>
      </c>
      <c r="F37" s="7" t="s">
        <v>11</v>
      </c>
      <c r="G37" s="4"/>
      <c r="H37" s="4"/>
    </row>
    <row r="38" ht="15.75" customHeight="1">
      <c r="A38" s="3">
        <v>455542.0</v>
      </c>
      <c r="B38" s="4" t="s">
        <v>12</v>
      </c>
      <c r="C38" s="4"/>
      <c r="D38" s="5" t="s">
        <v>13</v>
      </c>
      <c r="E38" s="6" t="s">
        <v>53</v>
      </c>
      <c r="F38" s="7" t="s">
        <v>11</v>
      </c>
      <c r="G38" s="4"/>
      <c r="H38" s="4"/>
    </row>
    <row r="39" ht="15.75" customHeight="1">
      <c r="A39" s="9">
        <v>231273.0</v>
      </c>
      <c r="B39" s="4" t="s">
        <v>12</v>
      </c>
      <c r="C39" s="4"/>
      <c r="D39" s="5" t="s">
        <v>13</v>
      </c>
      <c r="E39" s="10" t="s">
        <v>54</v>
      </c>
      <c r="F39" s="7" t="s">
        <v>15</v>
      </c>
      <c r="G39" s="3">
        <v>2014.0</v>
      </c>
      <c r="H39" s="3">
        <v>2014.0</v>
      </c>
    </row>
    <row r="40" ht="15.75" customHeight="1">
      <c r="A40" s="9">
        <v>234758.0</v>
      </c>
      <c r="B40" s="4" t="s">
        <v>12</v>
      </c>
      <c r="C40" s="4"/>
      <c r="D40" s="5" t="s">
        <v>13</v>
      </c>
      <c r="E40" s="10" t="s">
        <v>55</v>
      </c>
      <c r="F40" s="7" t="s">
        <v>15</v>
      </c>
      <c r="G40" s="3">
        <v>2014.0</v>
      </c>
      <c r="H40" s="3">
        <v>2014.0</v>
      </c>
    </row>
    <row r="41" ht="15.75" customHeight="1">
      <c r="A41" s="9">
        <v>240325.0</v>
      </c>
      <c r="B41" s="4" t="s">
        <v>12</v>
      </c>
      <c r="C41" s="4"/>
      <c r="D41" s="5" t="s">
        <v>13</v>
      </c>
      <c r="E41" s="10" t="s">
        <v>56</v>
      </c>
      <c r="F41" s="7" t="s">
        <v>15</v>
      </c>
      <c r="G41" s="3">
        <v>2014.0</v>
      </c>
      <c r="H41" s="3">
        <v>2014.0</v>
      </c>
    </row>
    <row r="42" ht="15.75" customHeight="1">
      <c r="A42" s="9">
        <v>11247.0</v>
      </c>
      <c r="B42" s="4" t="s">
        <v>8</v>
      </c>
      <c r="C42" s="4"/>
      <c r="D42" s="5" t="s">
        <v>9</v>
      </c>
      <c r="E42" s="10" t="s">
        <v>57</v>
      </c>
      <c r="F42" s="7" t="s">
        <v>15</v>
      </c>
      <c r="G42" s="3">
        <v>2014.0</v>
      </c>
      <c r="H42" s="3">
        <v>2014.0</v>
      </c>
    </row>
    <row r="43" ht="15.75" customHeight="1">
      <c r="A43" s="9">
        <v>239247.0</v>
      </c>
      <c r="B43" s="4" t="s">
        <v>12</v>
      </c>
      <c r="C43" s="4"/>
      <c r="D43" s="5" t="s">
        <v>13</v>
      </c>
      <c r="E43" s="12" t="s">
        <v>58</v>
      </c>
      <c r="F43" s="7" t="s">
        <v>11</v>
      </c>
      <c r="G43" s="4"/>
      <c r="H43" s="4"/>
    </row>
    <row r="44" ht="15.75" customHeight="1">
      <c r="A44" s="9">
        <v>12641.0</v>
      </c>
      <c r="B44" s="4" t="s">
        <v>8</v>
      </c>
      <c r="C44" s="4"/>
      <c r="D44" s="5" t="s">
        <v>9</v>
      </c>
      <c r="E44" s="11" t="s">
        <v>59</v>
      </c>
      <c r="F44" s="7" t="s">
        <v>15</v>
      </c>
      <c r="G44" s="3">
        <v>2014.0</v>
      </c>
      <c r="H44" s="3">
        <v>2014.0</v>
      </c>
    </row>
    <row r="45" ht="15.75" customHeight="1">
      <c r="A45" s="9">
        <v>247154.0</v>
      </c>
      <c r="B45" s="4" t="s">
        <v>12</v>
      </c>
      <c r="C45" s="4"/>
      <c r="D45" s="5" t="s">
        <v>13</v>
      </c>
      <c r="E45" s="12" t="s">
        <v>60</v>
      </c>
      <c r="F45" s="7" t="s">
        <v>11</v>
      </c>
      <c r="G45" s="4"/>
      <c r="H45" s="4"/>
    </row>
    <row r="46" ht="15.75" customHeight="1">
      <c r="A46" s="9">
        <v>255110.0</v>
      </c>
      <c r="B46" s="4" t="s">
        <v>12</v>
      </c>
      <c r="C46" s="4"/>
      <c r="D46" s="5" t="s">
        <v>13</v>
      </c>
      <c r="E46" s="4" t="s">
        <v>61</v>
      </c>
      <c r="F46" s="7" t="s">
        <v>11</v>
      </c>
      <c r="G46" s="4"/>
      <c r="H46" s="4"/>
    </row>
    <row r="47" ht="15.75" customHeight="1">
      <c r="A47" s="9">
        <v>256543.0</v>
      </c>
      <c r="B47" s="4" t="s">
        <v>12</v>
      </c>
      <c r="C47" s="4"/>
      <c r="D47" s="5" t="s">
        <v>13</v>
      </c>
      <c r="E47" s="12" t="s">
        <v>62</v>
      </c>
      <c r="F47" s="7" t="s">
        <v>11</v>
      </c>
      <c r="G47" s="4"/>
      <c r="H47" s="4"/>
    </row>
    <row r="48" ht="15.75" customHeight="1">
      <c r="A48" s="9">
        <v>300649.0</v>
      </c>
      <c r="B48" s="4" t="s">
        <v>12</v>
      </c>
      <c r="C48" s="4"/>
      <c r="D48" s="5" t="s">
        <v>13</v>
      </c>
      <c r="E48" s="6" t="s">
        <v>63</v>
      </c>
      <c r="F48" s="7" t="s">
        <v>11</v>
      </c>
      <c r="G48" s="4"/>
      <c r="H48" s="4"/>
    </row>
    <row r="49" ht="15.75" customHeight="1">
      <c r="A49" s="9">
        <v>310705.0</v>
      </c>
      <c r="B49" s="4" t="s">
        <v>12</v>
      </c>
      <c r="C49" s="4"/>
      <c r="D49" s="5" t="s">
        <v>13</v>
      </c>
      <c r="E49" s="12" t="s">
        <v>64</v>
      </c>
      <c r="F49" s="7" t="s">
        <v>11</v>
      </c>
      <c r="G49" s="4"/>
      <c r="H49" s="4"/>
    </row>
    <row r="50" ht="15.75" customHeight="1">
      <c r="A50" s="9">
        <v>14189.0</v>
      </c>
      <c r="B50" s="4" t="s">
        <v>8</v>
      </c>
      <c r="C50" s="4"/>
      <c r="D50" s="5" t="s">
        <v>9</v>
      </c>
      <c r="E50" s="6" t="s">
        <v>65</v>
      </c>
      <c r="F50" s="7" t="s">
        <v>15</v>
      </c>
      <c r="G50" s="3">
        <v>2015.0</v>
      </c>
      <c r="H50" s="3">
        <v>2015.0</v>
      </c>
    </row>
    <row r="51" ht="15.75" customHeight="1">
      <c r="A51" s="9">
        <v>228110.0</v>
      </c>
      <c r="B51" s="4" t="s">
        <v>12</v>
      </c>
      <c r="C51" s="4"/>
      <c r="D51" s="5" t="s">
        <v>13</v>
      </c>
      <c r="E51" s="11" t="s">
        <v>66</v>
      </c>
      <c r="F51" s="7" t="s">
        <v>15</v>
      </c>
      <c r="G51" s="3">
        <v>2014.0</v>
      </c>
      <c r="H51" s="3">
        <v>2015.0</v>
      </c>
    </row>
    <row r="52" ht="15.75" customHeight="1">
      <c r="A52" s="9">
        <v>340019.0</v>
      </c>
      <c r="B52" s="4" t="s">
        <v>12</v>
      </c>
      <c r="C52" s="4"/>
      <c r="D52" s="5" t="s">
        <v>13</v>
      </c>
      <c r="E52" s="6" t="s">
        <v>67</v>
      </c>
      <c r="F52" s="7" t="s">
        <v>11</v>
      </c>
      <c r="G52" s="4"/>
      <c r="H52" s="4"/>
    </row>
    <row r="53" ht="15.75" customHeight="1">
      <c r="A53" s="9">
        <v>232488.0</v>
      </c>
      <c r="B53" s="4" t="s">
        <v>12</v>
      </c>
      <c r="C53" s="4"/>
      <c r="D53" s="5" t="s">
        <v>13</v>
      </c>
      <c r="E53" s="11" t="s">
        <v>68</v>
      </c>
      <c r="F53" s="7" t="s">
        <v>15</v>
      </c>
      <c r="G53" s="3">
        <v>2014.0</v>
      </c>
      <c r="H53" s="3">
        <v>2015.0</v>
      </c>
    </row>
    <row r="54" ht="15.75" customHeight="1">
      <c r="A54" s="9">
        <v>315641.0</v>
      </c>
      <c r="B54" s="4" t="s">
        <v>12</v>
      </c>
      <c r="C54" s="4"/>
      <c r="D54" s="5" t="s">
        <v>13</v>
      </c>
      <c r="E54" s="10" t="s">
        <v>69</v>
      </c>
      <c r="F54" s="7" t="s">
        <v>15</v>
      </c>
      <c r="G54" s="3">
        <v>2016.0</v>
      </c>
      <c r="H54" s="3">
        <v>2016.0</v>
      </c>
    </row>
    <row r="55" ht="15.75" customHeight="1">
      <c r="A55" s="9">
        <v>22155.0</v>
      </c>
      <c r="B55" s="4" t="s">
        <v>8</v>
      </c>
      <c r="C55" s="4"/>
      <c r="D55" s="5" t="s">
        <v>9</v>
      </c>
      <c r="E55" s="4" t="s">
        <v>70</v>
      </c>
      <c r="F55" s="7" t="s">
        <v>11</v>
      </c>
      <c r="G55" s="4"/>
      <c r="H55" s="4"/>
    </row>
    <row r="56" ht="15.75" customHeight="1">
      <c r="A56" s="9">
        <v>22192.0</v>
      </c>
      <c r="B56" s="4" t="s">
        <v>8</v>
      </c>
      <c r="C56" s="4"/>
      <c r="D56" s="5" t="s">
        <v>9</v>
      </c>
      <c r="E56" s="12" t="s">
        <v>71</v>
      </c>
      <c r="F56" s="7" t="s">
        <v>11</v>
      </c>
      <c r="G56" s="4"/>
      <c r="H56" s="4"/>
    </row>
    <row r="57" ht="15.75" customHeight="1">
      <c r="A57" s="9">
        <v>22800.0</v>
      </c>
      <c r="B57" s="4" t="s">
        <v>8</v>
      </c>
      <c r="C57" s="4"/>
      <c r="D57" s="5" t="s">
        <v>9</v>
      </c>
      <c r="E57" s="6" t="s">
        <v>72</v>
      </c>
      <c r="F57" s="7" t="s">
        <v>11</v>
      </c>
      <c r="G57" s="4"/>
      <c r="H57" s="4"/>
    </row>
    <row r="58" ht="15.75" customHeight="1">
      <c r="A58" s="9">
        <v>323107.0</v>
      </c>
      <c r="B58" s="4" t="s">
        <v>12</v>
      </c>
      <c r="C58" s="4"/>
      <c r="D58" s="5" t="s">
        <v>13</v>
      </c>
      <c r="E58" s="12" t="s">
        <v>73</v>
      </c>
      <c r="F58" s="7" t="s">
        <v>15</v>
      </c>
      <c r="G58" s="3">
        <v>2016.0</v>
      </c>
      <c r="H58" s="3">
        <v>2016.0</v>
      </c>
    </row>
    <row r="59" ht="15.75" customHeight="1">
      <c r="A59" s="9">
        <v>24685.0</v>
      </c>
      <c r="B59" s="4" t="s">
        <v>8</v>
      </c>
      <c r="C59" s="4"/>
      <c r="D59" s="5" t="s">
        <v>9</v>
      </c>
      <c r="E59" s="6" t="s">
        <v>74</v>
      </c>
      <c r="F59" s="7" t="s">
        <v>11</v>
      </c>
      <c r="G59" s="4"/>
      <c r="H59" s="4"/>
    </row>
    <row r="60" ht="15.75" customHeight="1">
      <c r="A60" s="9">
        <v>24909.0</v>
      </c>
      <c r="B60" s="4" t="s">
        <v>8</v>
      </c>
      <c r="C60" s="4"/>
      <c r="D60" s="5" t="s">
        <v>9</v>
      </c>
      <c r="E60" s="12" t="s">
        <v>75</v>
      </c>
      <c r="F60" s="7" t="s">
        <v>11</v>
      </c>
      <c r="G60" s="4"/>
      <c r="H60" s="4"/>
    </row>
    <row r="61" ht="15.75" customHeight="1">
      <c r="A61" s="9">
        <v>18301.0</v>
      </c>
      <c r="B61" s="4" t="s">
        <v>8</v>
      </c>
      <c r="C61" s="4"/>
      <c r="D61" s="5" t="s">
        <v>9</v>
      </c>
      <c r="E61" s="12" t="s">
        <v>76</v>
      </c>
      <c r="F61" s="7" t="s">
        <v>15</v>
      </c>
      <c r="G61" s="3">
        <v>2016.0</v>
      </c>
      <c r="H61" s="3">
        <v>2016.0</v>
      </c>
    </row>
    <row r="62" ht="15.75" customHeight="1">
      <c r="A62" s="9">
        <v>25469.0</v>
      </c>
      <c r="B62" s="4" t="s">
        <v>8</v>
      </c>
      <c r="C62" s="4"/>
      <c r="D62" s="5" t="s">
        <v>9</v>
      </c>
      <c r="E62" s="12" t="s">
        <v>77</v>
      </c>
      <c r="F62" s="7" t="s">
        <v>11</v>
      </c>
      <c r="G62" s="4"/>
      <c r="H62" s="4"/>
    </row>
    <row r="63" ht="15.75" customHeight="1">
      <c r="A63" s="9">
        <v>354302.0</v>
      </c>
      <c r="B63" s="4" t="s">
        <v>12</v>
      </c>
      <c r="C63" s="4"/>
      <c r="D63" s="5" t="s">
        <v>13</v>
      </c>
      <c r="E63" s="10" t="s">
        <v>78</v>
      </c>
      <c r="F63" s="7" t="s">
        <v>15</v>
      </c>
      <c r="G63" s="3">
        <v>2017.0</v>
      </c>
      <c r="H63" s="3">
        <v>2017.0</v>
      </c>
    </row>
    <row r="64" ht="15.75" customHeight="1">
      <c r="A64" s="9">
        <v>340712.0</v>
      </c>
      <c r="B64" s="4" t="s">
        <v>12</v>
      </c>
      <c r="C64" s="4"/>
      <c r="D64" s="5" t="s">
        <v>13</v>
      </c>
      <c r="E64" s="5" t="s">
        <v>79</v>
      </c>
      <c r="F64" s="7" t="s">
        <v>15</v>
      </c>
      <c r="G64" s="3">
        <v>2017.0</v>
      </c>
      <c r="H64" s="3">
        <v>2017.0</v>
      </c>
    </row>
    <row r="65" ht="15.75" customHeight="1">
      <c r="A65" s="9">
        <v>25729.0</v>
      </c>
      <c r="B65" s="4" t="s">
        <v>8</v>
      </c>
      <c r="C65" s="4"/>
      <c r="D65" s="5" t="s">
        <v>9</v>
      </c>
      <c r="E65" s="6" t="s">
        <v>80</v>
      </c>
      <c r="F65" s="7" t="s">
        <v>11</v>
      </c>
      <c r="G65" s="4"/>
      <c r="H65" s="4"/>
    </row>
    <row r="66" ht="15.75" customHeight="1">
      <c r="A66" s="9">
        <v>22001.0</v>
      </c>
      <c r="B66" s="4" t="s">
        <v>8</v>
      </c>
      <c r="C66" s="4"/>
      <c r="D66" s="5" t="s">
        <v>9</v>
      </c>
      <c r="E66" s="11" t="s">
        <v>81</v>
      </c>
      <c r="F66" s="7" t="s">
        <v>15</v>
      </c>
      <c r="G66" s="3">
        <v>2017.0</v>
      </c>
      <c r="H66" s="3">
        <v>2017.0</v>
      </c>
    </row>
    <row r="67" ht="15.75" customHeight="1">
      <c r="A67" s="9">
        <v>25875.0</v>
      </c>
      <c r="B67" s="4" t="s">
        <v>8</v>
      </c>
      <c r="C67" s="4"/>
      <c r="D67" s="5" t="s">
        <v>9</v>
      </c>
      <c r="E67" s="6" t="s">
        <v>82</v>
      </c>
      <c r="F67" s="7" t="s">
        <v>11</v>
      </c>
      <c r="G67" s="4"/>
      <c r="H67" s="4"/>
    </row>
    <row r="68" ht="15.75" customHeight="1">
      <c r="A68" s="9">
        <v>26339.0</v>
      </c>
      <c r="B68" s="4" t="s">
        <v>8</v>
      </c>
      <c r="C68" s="4"/>
      <c r="D68" s="5" t="s">
        <v>9</v>
      </c>
      <c r="E68" s="12" t="s">
        <v>83</v>
      </c>
      <c r="F68" s="7" t="s">
        <v>11</v>
      </c>
      <c r="G68" s="4"/>
      <c r="H68" s="4"/>
    </row>
    <row r="69" ht="15.75" customHeight="1">
      <c r="A69" s="9">
        <v>20827.0</v>
      </c>
      <c r="B69" s="4" t="s">
        <v>8</v>
      </c>
      <c r="C69" s="4"/>
      <c r="D69" s="5" t="s">
        <v>9</v>
      </c>
      <c r="E69" s="12" t="s">
        <v>84</v>
      </c>
      <c r="F69" s="7" t="s">
        <v>15</v>
      </c>
      <c r="G69" s="3">
        <v>2017.0</v>
      </c>
      <c r="H69" s="3">
        <v>2017.0</v>
      </c>
    </row>
    <row r="70" ht="15.75" customHeight="1">
      <c r="A70" s="9">
        <v>142779.0</v>
      </c>
      <c r="B70" s="4" t="s">
        <v>12</v>
      </c>
      <c r="C70" s="4"/>
      <c r="D70" s="5" t="s">
        <v>13</v>
      </c>
      <c r="E70" s="12" t="s">
        <v>85</v>
      </c>
      <c r="F70" s="7" t="s">
        <v>11</v>
      </c>
      <c r="G70" s="4"/>
      <c r="H70" s="4"/>
    </row>
    <row r="71" ht="15.75" customHeight="1">
      <c r="A71" s="9">
        <v>23855.0</v>
      </c>
      <c r="B71" s="4" t="s">
        <v>8</v>
      </c>
      <c r="C71" s="4"/>
      <c r="D71" s="5" t="s">
        <v>9</v>
      </c>
      <c r="E71" s="11" t="s">
        <v>86</v>
      </c>
      <c r="F71" s="7" t="s">
        <v>15</v>
      </c>
      <c r="G71" s="3">
        <v>2018.0</v>
      </c>
      <c r="H71" s="3">
        <v>2018.0</v>
      </c>
    </row>
    <row r="72" ht="15.75" customHeight="1">
      <c r="A72" s="9">
        <v>156771.0</v>
      </c>
      <c r="B72" s="4" t="s">
        <v>12</v>
      </c>
      <c r="C72" s="4"/>
      <c r="D72" s="5" t="s">
        <v>13</v>
      </c>
      <c r="E72" s="12" t="s">
        <v>87</v>
      </c>
      <c r="F72" s="7" t="s">
        <v>11</v>
      </c>
      <c r="G72" s="4"/>
      <c r="H72" s="4"/>
    </row>
    <row r="73" ht="15.75" customHeight="1">
      <c r="A73" s="9">
        <v>158044.0</v>
      </c>
      <c r="B73" s="4" t="s">
        <v>12</v>
      </c>
      <c r="C73" s="4"/>
      <c r="D73" s="5" t="s">
        <v>13</v>
      </c>
      <c r="E73" s="6" t="s">
        <v>88</v>
      </c>
      <c r="F73" s="7" t="s">
        <v>11</v>
      </c>
      <c r="G73" s="4"/>
      <c r="H73" s="4"/>
    </row>
    <row r="74" ht="15.75" customHeight="1">
      <c r="A74" s="9">
        <v>162786.0</v>
      </c>
      <c r="B74" s="4" t="s">
        <v>12</v>
      </c>
      <c r="C74" s="4"/>
      <c r="D74" s="5" t="s">
        <v>13</v>
      </c>
      <c r="E74" s="12" t="s">
        <v>89</v>
      </c>
      <c r="F74" s="7" t="s">
        <v>11</v>
      </c>
      <c r="G74" s="4"/>
      <c r="H74" s="4"/>
    </row>
    <row r="75" ht="15.75" customHeight="1">
      <c r="A75" s="9">
        <v>166235.0</v>
      </c>
      <c r="B75" s="4" t="s">
        <v>12</v>
      </c>
      <c r="C75" s="4"/>
      <c r="D75" s="5" t="s">
        <v>13</v>
      </c>
      <c r="E75" s="6" t="s">
        <v>90</v>
      </c>
      <c r="F75" s="7" t="s">
        <v>11</v>
      </c>
      <c r="G75" s="4"/>
      <c r="H75" s="4"/>
    </row>
    <row r="76" ht="15.75" customHeight="1">
      <c r="A76" s="9">
        <v>176089.0</v>
      </c>
      <c r="B76" s="4" t="s">
        <v>12</v>
      </c>
      <c r="C76" s="4"/>
      <c r="D76" s="5" t="s">
        <v>13</v>
      </c>
      <c r="E76" s="12" t="s">
        <v>91</v>
      </c>
      <c r="F76" s="7" t="s">
        <v>11</v>
      </c>
      <c r="G76" s="4"/>
      <c r="H76" s="4"/>
    </row>
    <row r="77" ht="15.75" customHeight="1">
      <c r="A77" s="9">
        <v>188059.0</v>
      </c>
      <c r="B77" s="4" t="s">
        <v>12</v>
      </c>
      <c r="C77" s="4"/>
      <c r="D77" s="5" t="s">
        <v>13</v>
      </c>
      <c r="E77" s="6" t="s">
        <v>92</v>
      </c>
      <c r="F77" s="7" t="s">
        <v>11</v>
      </c>
      <c r="G77" s="4"/>
      <c r="H77" s="4"/>
    </row>
    <row r="78" ht="15.75" customHeight="1">
      <c r="A78" s="9">
        <v>194026.0</v>
      </c>
      <c r="B78" s="4" t="s">
        <v>12</v>
      </c>
      <c r="C78" s="4"/>
      <c r="D78" s="5" t="s">
        <v>13</v>
      </c>
      <c r="E78" s="12" t="s">
        <v>93</v>
      </c>
      <c r="F78" s="7" t="s">
        <v>11</v>
      </c>
      <c r="G78" s="4"/>
      <c r="H78" s="4"/>
    </row>
    <row r="79" ht="15.75" customHeight="1">
      <c r="A79" s="9">
        <v>25196.0</v>
      </c>
      <c r="B79" s="4" t="s">
        <v>8</v>
      </c>
      <c r="C79" s="4"/>
      <c r="D79" s="5" t="s">
        <v>9</v>
      </c>
      <c r="E79" s="10" t="s">
        <v>94</v>
      </c>
      <c r="F79" s="7" t="s">
        <v>15</v>
      </c>
      <c r="G79" s="3">
        <v>2018.0</v>
      </c>
      <c r="H79" s="3">
        <v>2018.0</v>
      </c>
    </row>
    <row r="80" ht="15.75" customHeight="1">
      <c r="A80" s="9">
        <v>200645.0</v>
      </c>
      <c r="B80" s="4" t="s">
        <v>12</v>
      </c>
      <c r="C80" s="4"/>
      <c r="D80" s="5" t="s">
        <v>13</v>
      </c>
      <c r="E80" s="12" t="s">
        <v>95</v>
      </c>
      <c r="F80" s="7" t="s">
        <v>11</v>
      </c>
      <c r="G80" s="4"/>
      <c r="H80" s="4"/>
    </row>
    <row r="81" ht="15.75" customHeight="1">
      <c r="A81" s="9">
        <v>203523.0</v>
      </c>
      <c r="B81" s="4" t="s">
        <v>12</v>
      </c>
      <c r="C81" s="4"/>
      <c r="D81" s="5" t="s">
        <v>13</v>
      </c>
      <c r="E81" s="6" t="s">
        <v>96</v>
      </c>
      <c r="F81" s="7" t="s">
        <v>11</v>
      </c>
      <c r="G81" s="4"/>
      <c r="H81" s="4"/>
    </row>
    <row r="82" ht="15.75" customHeight="1">
      <c r="A82" s="9">
        <v>204904.0</v>
      </c>
      <c r="B82" s="4" t="s">
        <v>12</v>
      </c>
      <c r="C82" s="4"/>
      <c r="D82" s="5" t="s">
        <v>13</v>
      </c>
      <c r="E82" s="12" t="s">
        <v>97</v>
      </c>
      <c r="F82" s="7" t="s">
        <v>11</v>
      </c>
      <c r="G82" s="4"/>
      <c r="H82" s="4"/>
    </row>
    <row r="83" ht="15.75" customHeight="1">
      <c r="A83" s="9">
        <v>216560.0</v>
      </c>
      <c r="B83" s="4" t="s">
        <v>12</v>
      </c>
      <c r="C83" s="4"/>
      <c r="D83" s="5" t="s">
        <v>13</v>
      </c>
      <c r="E83" s="6" t="s">
        <v>98</v>
      </c>
      <c r="F83" s="7" t="s">
        <v>11</v>
      </c>
      <c r="G83" s="4"/>
      <c r="H83" s="4"/>
    </row>
    <row r="84" ht="15.75" customHeight="1">
      <c r="A84" s="9">
        <v>9914.0</v>
      </c>
      <c r="B84" s="4" t="s">
        <v>8</v>
      </c>
      <c r="C84" s="4"/>
      <c r="D84" s="5" t="s">
        <v>9</v>
      </c>
      <c r="E84" s="6" t="s">
        <v>99</v>
      </c>
      <c r="F84" s="7" t="s">
        <v>11</v>
      </c>
      <c r="G84" s="4"/>
      <c r="H84" s="4"/>
    </row>
    <row r="85" ht="15.75" customHeight="1">
      <c r="A85" s="9">
        <v>10026.0</v>
      </c>
      <c r="B85" s="4" t="s">
        <v>8</v>
      </c>
      <c r="C85" s="4"/>
      <c r="D85" s="5" t="s">
        <v>9</v>
      </c>
      <c r="E85" s="12" t="s">
        <v>100</v>
      </c>
      <c r="F85" s="7" t="s">
        <v>49</v>
      </c>
      <c r="G85" s="4"/>
      <c r="H85" s="4"/>
    </row>
    <row r="86" ht="15.75" customHeight="1">
      <c r="A86" s="9">
        <v>26673.0</v>
      </c>
      <c r="B86" s="4" t="s">
        <v>8</v>
      </c>
      <c r="C86" s="4"/>
      <c r="D86" s="5" t="s">
        <v>9</v>
      </c>
      <c r="E86" s="12" t="s">
        <v>101</v>
      </c>
      <c r="F86" s="7" t="s">
        <v>15</v>
      </c>
      <c r="G86" s="3">
        <v>2019.0</v>
      </c>
      <c r="H86" s="3">
        <v>2019.0</v>
      </c>
    </row>
    <row r="87" ht="15.75" customHeight="1">
      <c r="A87" s="9">
        <v>27494.0</v>
      </c>
      <c r="B87" s="4" t="s">
        <v>8</v>
      </c>
      <c r="C87" s="4"/>
      <c r="D87" s="5" t="s">
        <v>9</v>
      </c>
      <c r="E87" s="11" t="s">
        <v>102</v>
      </c>
      <c r="F87" s="7" t="s">
        <v>15</v>
      </c>
      <c r="G87" s="3">
        <v>2019.0</v>
      </c>
      <c r="H87" s="3">
        <v>2019.0</v>
      </c>
    </row>
    <row r="88" ht="15.75" customHeight="1">
      <c r="A88" s="9">
        <v>392860.0</v>
      </c>
      <c r="B88" s="4" t="s">
        <v>12</v>
      </c>
      <c r="C88" s="4"/>
      <c r="D88" s="5" t="s">
        <v>13</v>
      </c>
      <c r="E88" s="6" t="s">
        <v>103</v>
      </c>
      <c r="F88" s="7" t="s">
        <v>15</v>
      </c>
      <c r="G88" s="3">
        <v>2019.0</v>
      </c>
      <c r="H88" s="3">
        <v>2019.0</v>
      </c>
    </row>
    <row r="89" ht="15.75" customHeight="1">
      <c r="A89" s="9">
        <v>14229.0</v>
      </c>
      <c r="B89" s="4" t="s">
        <v>8</v>
      </c>
      <c r="C89" s="4"/>
      <c r="D89" s="5" t="s">
        <v>9</v>
      </c>
      <c r="E89" s="12" t="s">
        <v>104</v>
      </c>
      <c r="F89" s="7" t="s">
        <v>11</v>
      </c>
      <c r="G89" s="4"/>
      <c r="H89" s="4"/>
    </row>
    <row r="90" ht="15.75" customHeight="1">
      <c r="A90" s="9">
        <v>14921.0</v>
      </c>
      <c r="B90" s="4" t="s">
        <v>8</v>
      </c>
      <c r="C90" s="4"/>
      <c r="D90" s="5" t="s">
        <v>9</v>
      </c>
      <c r="E90" s="6" t="s">
        <v>105</v>
      </c>
      <c r="F90" s="7" t="s">
        <v>11</v>
      </c>
      <c r="G90" s="4"/>
      <c r="H90" s="4"/>
    </row>
    <row r="91" ht="15.75" customHeight="1">
      <c r="A91" s="9">
        <v>17588.0</v>
      </c>
      <c r="B91" s="4" t="s">
        <v>8</v>
      </c>
      <c r="C91" s="4"/>
      <c r="D91" s="5" t="s">
        <v>9</v>
      </c>
      <c r="E91" s="12" t="s">
        <v>106</v>
      </c>
      <c r="F91" s="7" t="s">
        <v>11</v>
      </c>
      <c r="G91" s="4"/>
      <c r="H91" s="4"/>
    </row>
    <row r="92" ht="15.75" customHeight="1">
      <c r="A92" s="9">
        <v>17835.0</v>
      </c>
      <c r="B92" s="4" t="s">
        <v>8</v>
      </c>
      <c r="C92" s="4"/>
      <c r="D92" s="5" t="s">
        <v>9</v>
      </c>
      <c r="E92" s="6" t="s">
        <v>107</v>
      </c>
      <c r="F92" s="7" t="s">
        <v>11</v>
      </c>
      <c r="G92" s="4"/>
      <c r="H92" s="4"/>
    </row>
    <row r="93" ht="15.75" customHeight="1">
      <c r="A93" s="9">
        <v>396625.0</v>
      </c>
      <c r="B93" s="4" t="s">
        <v>12</v>
      </c>
      <c r="C93" s="4"/>
      <c r="D93" s="5" t="s">
        <v>13</v>
      </c>
      <c r="E93" s="12" t="s">
        <v>108</v>
      </c>
      <c r="F93" s="7" t="s">
        <v>15</v>
      </c>
      <c r="G93" s="3">
        <v>2019.0</v>
      </c>
      <c r="H93" s="3">
        <v>2019.0</v>
      </c>
    </row>
    <row r="94" ht="15.75" customHeight="1">
      <c r="A94" s="9">
        <v>18484.0</v>
      </c>
      <c r="B94" s="4" t="s">
        <v>8</v>
      </c>
      <c r="C94" s="4"/>
      <c r="D94" s="5" t="s">
        <v>9</v>
      </c>
      <c r="E94" s="6" t="s">
        <v>109</v>
      </c>
      <c r="F94" s="7" t="s">
        <v>11</v>
      </c>
      <c r="G94" s="4"/>
      <c r="H94" s="4"/>
    </row>
    <row r="95" ht="15.75" customHeight="1">
      <c r="A95" s="9">
        <v>20765.0</v>
      </c>
      <c r="B95" s="4" t="s">
        <v>8</v>
      </c>
      <c r="C95" s="4"/>
      <c r="D95" s="5" t="s">
        <v>9</v>
      </c>
      <c r="E95" s="12" t="s">
        <v>110</v>
      </c>
      <c r="F95" s="7" t="s">
        <v>11</v>
      </c>
      <c r="G95" s="4"/>
      <c r="H95" s="4"/>
    </row>
    <row r="96" ht="15.75" customHeight="1">
      <c r="A96" s="9">
        <v>20782.0</v>
      </c>
      <c r="B96" s="4" t="s">
        <v>8</v>
      </c>
      <c r="C96" s="4"/>
      <c r="D96" s="5" t="s">
        <v>9</v>
      </c>
      <c r="E96" s="6" t="s">
        <v>111</v>
      </c>
      <c r="F96" s="7" t="s">
        <v>11</v>
      </c>
      <c r="G96" s="4"/>
      <c r="H96" s="4"/>
    </row>
    <row r="97" ht="15.75" customHeight="1">
      <c r="A97" s="9">
        <v>398317.0</v>
      </c>
      <c r="B97" s="4" t="s">
        <v>12</v>
      </c>
      <c r="C97" s="4"/>
      <c r="D97" s="5" t="s">
        <v>13</v>
      </c>
      <c r="E97" s="10" t="s">
        <v>112</v>
      </c>
      <c r="F97" s="7" t="s">
        <v>15</v>
      </c>
      <c r="G97" s="3">
        <v>2019.0</v>
      </c>
      <c r="H97" s="3">
        <v>2019.0</v>
      </c>
    </row>
    <row r="98" ht="15.75" customHeight="1">
      <c r="A98" s="9">
        <v>21219.0</v>
      </c>
      <c r="B98" s="4" t="s">
        <v>8</v>
      </c>
      <c r="C98" s="4"/>
      <c r="D98" s="5" t="s">
        <v>9</v>
      </c>
      <c r="E98" s="6" t="s">
        <v>113</v>
      </c>
      <c r="F98" s="7" t="s">
        <v>11</v>
      </c>
      <c r="G98" s="4"/>
      <c r="H98" s="4"/>
    </row>
    <row r="99" ht="15.75" customHeight="1">
      <c r="A99" s="9">
        <v>86974.0</v>
      </c>
      <c r="B99" s="4" t="s">
        <v>12</v>
      </c>
      <c r="C99" s="4"/>
      <c r="D99" s="5" t="s">
        <v>13</v>
      </c>
      <c r="E99" s="12" t="s">
        <v>114</v>
      </c>
      <c r="F99" s="7" t="s">
        <v>11</v>
      </c>
      <c r="G99" s="4"/>
      <c r="H99" s="4"/>
    </row>
    <row r="100" ht="15.75" customHeight="1">
      <c r="A100" s="9">
        <v>106966.0</v>
      </c>
      <c r="B100" s="4" t="s">
        <v>12</v>
      </c>
      <c r="C100" s="4"/>
      <c r="D100" s="5" t="s">
        <v>13</v>
      </c>
      <c r="E100" s="6" t="s">
        <v>115</v>
      </c>
      <c r="F100" s="7" t="s">
        <v>11</v>
      </c>
      <c r="G100" s="4"/>
      <c r="H100" s="4"/>
    </row>
    <row r="101" ht="15.75" customHeight="1">
      <c r="A101" s="9">
        <v>108204.0</v>
      </c>
      <c r="B101" s="4" t="s">
        <v>12</v>
      </c>
      <c r="C101" s="4"/>
      <c r="D101" s="5" t="s">
        <v>13</v>
      </c>
      <c r="E101" s="12" t="s">
        <v>116</v>
      </c>
      <c r="F101" s="7" t="s">
        <v>11</v>
      </c>
      <c r="G101" s="4"/>
      <c r="H101" s="4"/>
    </row>
    <row r="102" ht="15.75" customHeight="1">
      <c r="A102" s="9">
        <v>25637.0</v>
      </c>
      <c r="B102" s="4" t="s">
        <v>8</v>
      </c>
      <c r="C102" s="4"/>
      <c r="D102" s="5" t="s">
        <v>9</v>
      </c>
      <c r="E102" s="6" t="s">
        <v>117</v>
      </c>
      <c r="F102" s="7" t="s">
        <v>15</v>
      </c>
      <c r="G102" s="3">
        <v>2019.0</v>
      </c>
      <c r="H102" s="3">
        <v>2019.0</v>
      </c>
    </row>
    <row r="103" ht="15.75" customHeight="1">
      <c r="A103" s="9">
        <v>25714.0</v>
      </c>
      <c r="B103" s="4" t="s">
        <v>8</v>
      </c>
      <c r="C103" s="4"/>
      <c r="D103" s="5" t="s">
        <v>9</v>
      </c>
      <c r="E103" s="11" t="s">
        <v>118</v>
      </c>
      <c r="F103" s="7" t="s">
        <v>15</v>
      </c>
      <c r="G103" s="3">
        <v>2019.0</v>
      </c>
      <c r="H103" s="3">
        <v>2019.0</v>
      </c>
    </row>
    <row r="104" ht="15.75" customHeight="1">
      <c r="A104" s="9">
        <v>8185.0</v>
      </c>
      <c r="B104" s="4" t="s">
        <v>8</v>
      </c>
      <c r="C104" s="4"/>
      <c r="D104" s="5" t="s">
        <v>9</v>
      </c>
      <c r="E104" s="12" t="s">
        <v>119</v>
      </c>
      <c r="F104" s="7" t="s">
        <v>11</v>
      </c>
      <c r="G104" s="4"/>
      <c r="H104" s="4"/>
    </row>
    <row r="105" ht="15.75" customHeight="1">
      <c r="A105" s="9">
        <v>8286.0</v>
      </c>
      <c r="B105" s="4" t="s">
        <v>8</v>
      </c>
      <c r="C105" s="4"/>
      <c r="D105" s="5" t="s">
        <v>9</v>
      </c>
      <c r="E105" s="6" t="s">
        <v>120</v>
      </c>
      <c r="F105" s="7" t="s">
        <v>11</v>
      </c>
      <c r="G105" s="4"/>
      <c r="H105" s="4"/>
    </row>
    <row r="106" ht="15.75" customHeight="1">
      <c r="A106" s="9">
        <v>25744.0</v>
      </c>
      <c r="B106" s="4" t="s">
        <v>8</v>
      </c>
      <c r="C106" s="4"/>
      <c r="D106" s="5" t="s">
        <v>9</v>
      </c>
      <c r="E106" s="11" t="s">
        <v>121</v>
      </c>
      <c r="F106" s="7" t="s">
        <v>15</v>
      </c>
      <c r="G106" s="3">
        <v>2019.0</v>
      </c>
      <c r="H106" s="3">
        <v>2019.0</v>
      </c>
    </row>
    <row r="107" ht="15.75" customHeight="1">
      <c r="A107" s="9">
        <v>30061.0</v>
      </c>
      <c r="B107" s="4" t="s">
        <v>8</v>
      </c>
      <c r="C107" s="4"/>
      <c r="D107" s="5" t="s">
        <v>9</v>
      </c>
      <c r="E107" s="11" t="s">
        <v>122</v>
      </c>
      <c r="F107" s="7" t="s">
        <v>15</v>
      </c>
      <c r="G107" s="3">
        <v>2020.0</v>
      </c>
      <c r="H107" s="3">
        <v>2020.0</v>
      </c>
    </row>
    <row r="108" ht="15.75" customHeight="1">
      <c r="A108" s="9">
        <v>403583.0</v>
      </c>
      <c r="B108" s="4" t="s">
        <v>12</v>
      </c>
      <c r="C108" s="4"/>
      <c r="D108" s="5" t="s">
        <v>13</v>
      </c>
      <c r="E108" s="11" t="s">
        <v>123</v>
      </c>
      <c r="F108" s="7" t="s">
        <v>15</v>
      </c>
      <c r="G108" s="3">
        <v>2020.0</v>
      </c>
      <c r="H108" s="3">
        <v>2020.0</v>
      </c>
    </row>
    <row r="109" ht="15.75" customHeight="1">
      <c r="A109" s="9">
        <v>31614.0</v>
      </c>
      <c r="B109" s="4" t="s">
        <v>8</v>
      </c>
      <c r="C109" s="4"/>
      <c r="D109" s="5" t="s">
        <v>9</v>
      </c>
      <c r="E109" s="10" t="s">
        <v>124</v>
      </c>
      <c r="F109" s="7" t="s">
        <v>15</v>
      </c>
      <c r="G109" s="3">
        <v>2021.0</v>
      </c>
      <c r="H109" s="3">
        <v>2021.0</v>
      </c>
    </row>
    <row r="110" ht="15.75" customHeight="1">
      <c r="A110" s="9">
        <v>76191.0</v>
      </c>
      <c r="B110" s="4" t="s">
        <v>12</v>
      </c>
      <c r="C110" s="4"/>
      <c r="D110" s="5" t="s">
        <v>13</v>
      </c>
      <c r="E110" s="12" t="s">
        <v>125</v>
      </c>
      <c r="F110" s="7" t="s">
        <v>11</v>
      </c>
      <c r="G110" s="4"/>
      <c r="H110" s="4"/>
    </row>
    <row r="111" ht="15.75" customHeight="1">
      <c r="A111" s="9">
        <v>82429.0</v>
      </c>
      <c r="B111" s="4" t="s">
        <v>12</v>
      </c>
      <c r="C111" s="4"/>
      <c r="D111" s="5" t="s">
        <v>13</v>
      </c>
      <c r="E111" s="6" t="s">
        <v>126</v>
      </c>
      <c r="F111" s="7" t="s">
        <v>11</v>
      </c>
      <c r="G111" s="4"/>
      <c r="H111" s="4"/>
    </row>
    <row r="112" ht="15.75" customHeight="1">
      <c r="A112" s="9">
        <v>31666.0</v>
      </c>
      <c r="B112" s="4" t="s">
        <v>8</v>
      </c>
      <c r="C112" s="4"/>
      <c r="D112" s="5" t="s">
        <v>9</v>
      </c>
      <c r="E112" s="11" t="s">
        <v>127</v>
      </c>
      <c r="F112" s="7" t="s">
        <v>15</v>
      </c>
      <c r="G112" s="3">
        <v>2021.0</v>
      </c>
      <c r="H112" s="3">
        <v>2021.0</v>
      </c>
    </row>
    <row r="113" ht="15.75" customHeight="1">
      <c r="A113" s="9">
        <v>28211.0</v>
      </c>
      <c r="B113" s="4" t="s">
        <v>24</v>
      </c>
      <c r="C113" s="4"/>
      <c r="D113" s="5" t="s">
        <v>25</v>
      </c>
      <c r="E113" s="12" t="s">
        <v>128</v>
      </c>
      <c r="F113" s="7" t="s">
        <v>11</v>
      </c>
      <c r="G113" s="4"/>
      <c r="H113" s="4"/>
    </row>
    <row r="114" ht="15.75" customHeight="1">
      <c r="A114" s="9">
        <v>38429.0</v>
      </c>
      <c r="B114" s="4" t="s">
        <v>24</v>
      </c>
      <c r="C114" s="4"/>
      <c r="D114" s="5" t="s">
        <v>25</v>
      </c>
      <c r="E114" s="6" t="s">
        <v>129</v>
      </c>
      <c r="F114" s="7" t="s">
        <v>11</v>
      </c>
      <c r="G114" s="4"/>
      <c r="H114" s="4"/>
    </row>
    <row r="115" ht="15.75" customHeight="1">
      <c r="A115" s="9">
        <v>194180.0</v>
      </c>
      <c r="B115" s="4" t="s">
        <v>12</v>
      </c>
      <c r="C115" s="4"/>
      <c r="D115" s="5" t="s">
        <v>13</v>
      </c>
      <c r="E115" s="10" t="s">
        <v>130</v>
      </c>
      <c r="F115" s="7" t="s">
        <v>15</v>
      </c>
      <c r="G115" s="3">
        <v>2013.0</v>
      </c>
      <c r="H115" s="3">
        <v>2021.0</v>
      </c>
    </row>
    <row r="116" ht="15.75" customHeight="1">
      <c r="A116" s="9">
        <v>5376.0</v>
      </c>
      <c r="B116" s="4" t="s">
        <v>8</v>
      </c>
      <c r="C116" s="4"/>
      <c r="D116" s="5" t="s">
        <v>9</v>
      </c>
      <c r="E116" s="12" t="s">
        <v>131</v>
      </c>
      <c r="F116" s="7" t="s">
        <v>11</v>
      </c>
      <c r="G116" s="4"/>
      <c r="H116" s="4"/>
    </row>
    <row r="117" ht="15.75" customHeight="1">
      <c r="A117" s="9">
        <v>34041.0</v>
      </c>
      <c r="B117" s="4" t="s">
        <v>8</v>
      </c>
      <c r="C117" s="4"/>
      <c r="D117" s="5" t="s">
        <v>9</v>
      </c>
      <c r="E117" s="10" t="s">
        <v>132</v>
      </c>
      <c r="F117" s="7" t="s">
        <v>15</v>
      </c>
      <c r="G117" s="3">
        <v>2022.0</v>
      </c>
      <c r="H117" s="3">
        <v>2022.0</v>
      </c>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17"/>
  <dataValidations>
    <dataValidation type="list" allowBlank="1" showErrorMessage="1" sqref="F2:H2 F3 F4:H4 F5 F6:H8 F9 F10:H11 F12 F14 F15:H19 F20 F21:H27 F28:F31 F32:H38 F39:F42 F43:H43 F44 F45:H49 F50:F51 F52:H52 F53:F54 F55:H57 F58 F59:H60 F61 F62:H62 F63:F64 F65:H65 F66 F67:H68 F69 F70:H70 F71 F72:H78 F79 F80:H85 F86:F88 F89:H92 F93 F94:H96 F97 F98:H101 F102:F103 F104:H105 F106:F109 F110:H111 F112 F113:H114 F115 F116:H116 F117">
      <formula1>"CA: Discussão apta para análise (discussão que aborda problemas com user stories),CE1: Discussão Incompleta: sem resposta ou tem somente uma resposta cujo o autor é o mesmo da pergunta,CE2: Score igual ou menor que zero,CE3: Discussão que NÃO aborda probl"&amp;"emas com user stories,CE4: Discussão em um contexto fora da indústria (empresa,equipe,projeto para indústria),CE5: Discussão que NÃO aborda um problema real relacionado à utilização de user stories."</formula1>
    </dataValidation>
    <dataValidation type="list" allowBlank="1" showErrorMessage="1" sqref="G3:H3 G5:H5 G9:H9 G12:H14 G20:H20 G28:H31 G39:H42 G44:H44 G50:H51 G53:H54 G58:H58 G61:H61 G63:H64 G66:H66 G69:H69 G71:H71 G79:H79 G86:H88 G93:H93 G97:H97 G102:H103 G106:H109 G112:H112 G115:H115 G117:H117">
      <formula1>"2011,2012,2013,2014,2015,2016,2017,2018,2019,2020,2021,2022,2023,2024"</formula1>
    </dataValidation>
    <dataValidation type="list" allowBlank="1" showErrorMessage="1" sqref="F13">
      <formula1>"CA: Discussão apta para análise (discussão que aborda problemas com user stories),CE1: Discussão Incompleta,CE2: Score negativo,CE3: Discussão que NÃO aborda problemas com user stories,CE4: Discussão em um contexto fora da indústria (empresa,equipe,projet"&amp;"o para indústria),CE5: Discussão que NÃO aborda um problema real relacionado à utilização de user stories.,Não Analisado"</formula1>
    </dataValidation>
  </dataValidations>
  <hyperlinks>
    <hyperlink r:id="rId1" ref="D2"/>
    <hyperlink r:id="rId2" ref="D3"/>
    <hyperlink r:id="rId3" ref="E3"/>
    <hyperlink r:id="rId4" ref="D4"/>
    <hyperlink r:id="rId5" ref="D5"/>
    <hyperlink r:id="rId6" ref="E5"/>
    <hyperlink r:id="rId7" ref="D6"/>
    <hyperlink r:id="rId8" ref="D7"/>
    <hyperlink r:id="rId9" ref="D8"/>
    <hyperlink r:id="rId10" ref="D9"/>
    <hyperlink r:id="rId11" ref="E9"/>
    <hyperlink r:id="rId12" ref="D10"/>
    <hyperlink r:id="rId13" ref="D11"/>
    <hyperlink r:id="rId14" ref="D12"/>
    <hyperlink r:id="rId15" ref="D13"/>
    <hyperlink r:id="rId16" ref="E13"/>
    <hyperlink r:id="rId17" ref="D14"/>
    <hyperlink r:id="rId18" ref="E14"/>
    <hyperlink r:id="rId19" ref="D15"/>
    <hyperlink r:id="rId20" ref="D16"/>
    <hyperlink r:id="rId21" ref="D17"/>
    <hyperlink r:id="rId22" ref="D18"/>
    <hyperlink r:id="rId23" ref="D19"/>
    <hyperlink r:id="rId24" ref="D20"/>
    <hyperlink r:id="rId25" ref="E20"/>
    <hyperlink r:id="rId26" ref="D21"/>
    <hyperlink r:id="rId27" ref="D22"/>
    <hyperlink r:id="rId28" ref="D23"/>
    <hyperlink r:id="rId29" ref="D24"/>
    <hyperlink r:id="rId30" ref="D25"/>
    <hyperlink r:id="rId31" ref="D26"/>
    <hyperlink r:id="rId32" ref="D27"/>
    <hyperlink r:id="rId33" ref="D28"/>
    <hyperlink r:id="rId34" ref="E28"/>
    <hyperlink r:id="rId35" ref="D29"/>
    <hyperlink r:id="rId36" ref="E29"/>
    <hyperlink r:id="rId37" ref="D30"/>
    <hyperlink r:id="rId38" ref="E30"/>
    <hyperlink r:id="rId39" ref="D31"/>
    <hyperlink r:id="rId40" ref="E31"/>
    <hyperlink r:id="rId41" ref="D32"/>
    <hyperlink r:id="rId42" ref="D33"/>
    <hyperlink r:id="rId43" ref="D34"/>
    <hyperlink r:id="rId44" ref="D35"/>
    <hyperlink r:id="rId45" ref="D36"/>
    <hyperlink r:id="rId46" ref="D37"/>
    <hyperlink r:id="rId47" ref="D38"/>
    <hyperlink r:id="rId48" ref="D39"/>
    <hyperlink r:id="rId49" ref="E39"/>
    <hyperlink r:id="rId50" ref="D40"/>
    <hyperlink r:id="rId51" ref="E40"/>
    <hyperlink r:id="rId52" ref="D41"/>
    <hyperlink r:id="rId53" ref="E41"/>
    <hyperlink r:id="rId54" ref="D42"/>
    <hyperlink r:id="rId55" ref="E42"/>
    <hyperlink r:id="rId56" ref="D43"/>
    <hyperlink r:id="rId57" ref="D44"/>
    <hyperlink r:id="rId58" ref="E44"/>
    <hyperlink r:id="rId59" ref="D45"/>
    <hyperlink r:id="rId60" ref="D46"/>
    <hyperlink r:id="rId61" ref="D47"/>
    <hyperlink r:id="rId62" ref="D48"/>
    <hyperlink r:id="rId63" ref="D49"/>
    <hyperlink r:id="rId64" ref="D50"/>
    <hyperlink r:id="rId65" ref="D51"/>
    <hyperlink r:id="rId66" ref="E51"/>
    <hyperlink r:id="rId67" ref="D52"/>
    <hyperlink r:id="rId68" ref="D53"/>
    <hyperlink r:id="rId69" ref="E53"/>
    <hyperlink r:id="rId70" ref="D54"/>
    <hyperlink r:id="rId71" ref="E54"/>
    <hyperlink r:id="rId72" ref="D55"/>
    <hyperlink r:id="rId73" ref="D56"/>
    <hyperlink r:id="rId74" ref="D57"/>
    <hyperlink r:id="rId75" ref="D58"/>
    <hyperlink r:id="rId76" ref="D59"/>
    <hyperlink r:id="rId77" ref="D60"/>
    <hyperlink r:id="rId78" ref="D61"/>
    <hyperlink r:id="rId79" ref="D62"/>
    <hyperlink r:id="rId80" ref="D63"/>
    <hyperlink r:id="rId81" ref="E63"/>
    <hyperlink r:id="rId82" ref="D64"/>
    <hyperlink r:id="rId83" ref="E64"/>
    <hyperlink r:id="rId84" ref="D65"/>
    <hyperlink r:id="rId85" ref="D66"/>
    <hyperlink r:id="rId86" ref="E66"/>
    <hyperlink r:id="rId87" ref="D67"/>
    <hyperlink r:id="rId88" ref="D68"/>
    <hyperlink r:id="rId89" ref="D69"/>
    <hyperlink r:id="rId90" ref="D70"/>
    <hyperlink r:id="rId91" ref="D71"/>
    <hyperlink r:id="rId92" ref="E71"/>
    <hyperlink r:id="rId93" ref="D72"/>
    <hyperlink r:id="rId94" ref="D73"/>
    <hyperlink r:id="rId95" ref="D74"/>
    <hyperlink r:id="rId96" ref="D75"/>
    <hyperlink r:id="rId97" ref="D76"/>
    <hyperlink r:id="rId98" ref="D77"/>
    <hyperlink r:id="rId99" ref="D78"/>
    <hyperlink r:id="rId100" ref="D79"/>
    <hyperlink r:id="rId101" ref="E79"/>
    <hyperlink r:id="rId102" ref="D80"/>
    <hyperlink r:id="rId103" ref="D81"/>
    <hyperlink r:id="rId104" ref="D82"/>
    <hyperlink r:id="rId105" ref="D83"/>
    <hyperlink r:id="rId106" ref="D84"/>
    <hyperlink r:id="rId107" ref="D85"/>
    <hyperlink r:id="rId108" ref="D86"/>
    <hyperlink r:id="rId109" ref="D87"/>
    <hyperlink r:id="rId110" ref="E87"/>
    <hyperlink r:id="rId111" ref="D88"/>
    <hyperlink r:id="rId112" ref="D89"/>
    <hyperlink r:id="rId113" ref="D90"/>
    <hyperlink r:id="rId114" ref="D91"/>
    <hyperlink r:id="rId115" ref="D92"/>
    <hyperlink r:id="rId116" ref="D93"/>
    <hyperlink r:id="rId117" ref="D94"/>
    <hyperlink r:id="rId118" ref="D95"/>
    <hyperlink r:id="rId119" ref="D96"/>
    <hyperlink r:id="rId120" ref="D97"/>
    <hyperlink r:id="rId121" ref="E97"/>
    <hyperlink r:id="rId122" ref="D98"/>
    <hyperlink r:id="rId123" ref="D99"/>
    <hyperlink r:id="rId124" ref="D100"/>
    <hyperlink r:id="rId125" ref="D101"/>
    <hyperlink r:id="rId126" ref="D102"/>
    <hyperlink r:id="rId127" ref="D103"/>
    <hyperlink r:id="rId128" ref="E103"/>
    <hyperlink r:id="rId129" ref="D104"/>
    <hyperlink r:id="rId130" ref="D105"/>
    <hyperlink r:id="rId131" ref="D106"/>
    <hyperlink r:id="rId132" ref="E106"/>
    <hyperlink r:id="rId133" ref="D107"/>
    <hyperlink r:id="rId134" ref="E107"/>
    <hyperlink r:id="rId135" ref="D108"/>
    <hyperlink r:id="rId136" ref="E108"/>
    <hyperlink r:id="rId137" ref="D109"/>
    <hyperlink r:id="rId138" ref="E109"/>
    <hyperlink r:id="rId139" ref="D110"/>
    <hyperlink r:id="rId140" ref="D111"/>
    <hyperlink r:id="rId141" ref="D112"/>
    <hyperlink r:id="rId142" ref="E112"/>
    <hyperlink r:id="rId143" ref="D113"/>
    <hyperlink r:id="rId144" ref="D114"/>
    <hyperlink r:id="rId145" ref="D115"/>
    <hyperlink r:id="rId146" ref="E115"/>
    <hyperlink r:id="rId147" ref="D116"/>
    <hyperlink r:id="rId148" ref="D117"/>
    <hyperlink r:id="rId149" ref="E117"/>
  </hyperlinks>
  <printOptions/>
  <pageMargins bottom="0.787401575" footer="0.0" header="0.0" left="0.511811024" right="0.511811024" top="0.787401575"/>
  <pageSetup orientation="landscape"/>
  <drawing r:id="rId15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5"/>
    <col customWidth="1" min="2" max="2" width="29.38"/>
    <col customWidth="1" min="3" max="3" width="11.63"/>
    <col customWidth="1" min="4" max="4" width="44.25"/>
    <col customWidth="1" min="5" max="5" width="58.25"/>
    <col customWidth="1" min="6" max="6" width="17.13"/>
    <col customWidth="1" min="7" max="7" width="16.25"/>
    <col customWidth="1" min="8" max="8" width="19.75"/>
  </cols>
  <sheetData>
    <row r="1" ht="15.75" customHeight="1">
      <c r="A1" s="13" t="s">
        <v>0</v>
      </c>
      <c r="B1" s="13" t="s">
        <v>1</v>
      </c>
      <c r="C1" s="13" t="s">
        <v>2</v>
      </c>
      <c r="D1" s="13" t="s">
        <v>3</v>
      </c>
      <c r="E1" s="13" t="s">
        <v>4</v>
      </c>
      <c r="F1" s="13" t="s">
        <v>133</v>
      </c>
      <c r="G1" s="13" t="s">
        <v>134</v>
      </c>
      <c r="H1" s="14" t="s">
        <v>135</v>
      </c>
    </row>
    <row r="2" ht="15.75" customHeight="1">
      <c r="A2" s="15">
        <v>7953.0</v>
      </c>
      <c r="B2" s="16" t="s">
        <v>8</v>
      </c>
      <c r="C2" s="16"/>
      <c r="D2" s="17" t="s">
        <v>136</v>
      </c>
      <c r="E2" s="18" t="s">
        <v>34</v>
      </c>
      <c r="F2" s="19" t="s">
        <v>15</v>
      </c>
      <c r="G2" s="19" t="s">
        <v>15</v>
      </c>
      <c r="H2" s="16" t="s">
        <v>137</v>
      </c>
    </row>
    <row r="3" ht="15.75" customHeight="1">
      <c r="A3" s="15">
        <v>5376.0</v>
      </c>
      <c r="B3" s="16" t="s">
        <v>8</v>
      </c>
      <c r="C3" s="16"/>
      <c r="D3" s="17" t="s">
        <v>136</v>
      </c>
      <c r="E3" s="20" t="s">
        <v>138</v>
      </c>
      <c r="F3" s="19" t="s">
        <v>11</v>
      </c>
      <c r="G3" s="19" t="s">
        <v>11</v>
      </c>
      <c r="H3" s="16" t="s">
        <v>137</v>
      </c>
    </row>
    <row r="4" ht="15.75" customHeight="1">
      <c r="A4" s="15">
        <v>3017.0</v>
      </c>
      <c r="B4" s="16" t="s">
        <v>8</v>
      </c>
      <c r="C4" s="16"/>
      <c r="D4" s="17" t="s">
        <v>136</v>
      </c>
      <c r="E4" s="20" t="s">
        <v>139</v>
      </c>
      <c r="F4" s="19" t="s">
        <v>15</v>
      </c>
      <c r="G4" s="19" t="s">
        <v>11</v>
      </c>
      <c r="H4" s="21" t="s">
        <v>15</v>
      </c>
    </row>
    <row r="5" ht="15.75" customHeight="1">
      <c r="A5" s="15">
        <v>82429.0</v>
      </c>
      <c r="B5" s="16" t="s">
        <v>12</v>
      </c>
      <c r="C5" s="16"/>
      <c r="D5" s="17" t="s">
        <v>140</v>
      </c>
      <c r="E5" s="20" t="s">
        <v>141</v>
      </c>
      <c r="F5" s="19" t="s">
        <v>11</v>
      </c>
      <c r="G5" s="19" t="s">
        <v>11</v>
      </c>
      <c r="H5" s="16" t="s">
        <v>137</v>
      </c>
      <c r="I5" s="14"/>
    </row>
    <row r="6" ht="15.75" customHeight="1">
      <c r="A6" s="15">
        <v>76191.0</v>
      </c>
      <c r="B6" s="16" t="s">
        <v>12</v>
      </c>
      <c r="C6" s="16"/>
      <c r="D6" s="17" t="s">
        <v>140</v>
      </c>
      <c r="E6" s="20" t="s">
        <v>142</v>
      </c>
      <c r="F6" s="19" t="s">
        <v>11</v>
      </c>
      <c r="G6" s="19" t="s">
        <v>11</v>
      </c>
      <c r="H6" s="16" t="s">
        <v>137</v>
      </c>
    </row>
    <row r="7" ht="15.75" customHeight="1">
      <c r="A7" s="15">
        <v>41750.0</v>
      </c>
      <c r="B7" s="16" t="s">
        <v>12</v>
      </c>
      <c r="C7" s="16"/>
      <c r="D7" s="17" t="s">
        <v>140</v>
      </c>
      <c r="E7" s="18" t="s">
        <v>21</v>
      </c>
      <c r="F7" s="19" t="s">
        <v>15</v>
      </c>
      <c r="G7" s="19" t="s">
        <v>11</v>
      </c>
      <c r="H7" s="19" t="s">
        <v>15</v>
      </c>
    </row>
    <row r="8" ht="15.75" customHeight="1">
      <c r="A8" s="15">
        <v>38429.0</v>
      </c>
      <c r="B8" s="16" t="s">
        <v>24</v>
      </c>
      <c r="C8" s="16"/>
      <c r="D8" s="17" t="s">
        <v>143</v>
      </c>
      <c r="E8" s="18" t="s">
        <v>125</v>
      </c>
      <c r="F8" s="19" t="s">
        <v>11</v>
      </c>
      <c r="G8" s="19" t="s">
        <v>11</v>
      </c>
      <c r="H8" s="16" t="s">
        <v>137</v>
      </c>
    </row>
    <row r="9" ht="15.75" customHeight="1">
      <c r="A9" s="15">
        <v>28211.0</v>
      </c>
      <c r="B9" s="16" t="s">
        <v>24</v>
      </c>
      <c r="C9" s="16"/>
      <c r="D9" s="17" t="s">
        <v>143</v>
      </c>
      <c r="E9" s="20" t="s">
        <v>144</v>
      </c>
      <c r="F9" s="19" t="s">
        <v>11</v>
      </c>
      <c r="G9" s="19" t="s">
        <v>11</v>
      </c>
      <c r="H9" s="16" t="s">
        <v>137</v>
      </c>
    </row>
    <row r="10" ht="15.75" customHeight="1">
      <c r="A10" s="15">
        <v>560.0</v>
      </c>
      <c r="B10" s="16" t="s">
        <v>24</v>
      </c>
      <c r="C10" s="16"/>
      <c r="D10" s="17" t="s">
        <v>143</v>
      </c>
      <c r="E10" s="20" t="s">
        <v>145</v>
      </c>
      <c r="F10" s="19" t="s">
        <v>15</v>
      </c>
      <c r="G10" s="19" t="s">
        <v>11</v>
      </c>
      <c r="H10" s="19" t="s">
        <v>15</v>
      </c>
    </row>
    <row r="11" ht="15.75" customHeight="1">
      <c r="A11" s="22">
        <v>8185.0</v>
      </c>
      <c r="B11" s="23" t="s">
        <v>8</v>
      </c>
      <c r="C11" s="23"/>
      <c r="D11" s="24" t="s">
        <v>9</v>
      </c>
      <c r="E11" s="25" t="s">
        <v>119</v>
      </c>
      <c r="F11" s="26" t="s">
        <v>11</v>
      </c>
      <c r="G11" s="26" t="s">
        <v>11</v>
      </c>
      <c r="H11" s="23" t="s">
        <v>137</v>
      </c>
    </row>
    <row r="12" ht="15.75" customHeight="1">
      <c r="A12" s="22">
        <v>8286.0</v>
      </c>
      <c r="B12" s="23" t="s">
        <v>8</v>
      </c>
      <c r="C12" s="23"/>
      <c r="D12" s="24" t="s">
        <v>9</v>
      </c>
      <c r="E12" s="25" t="s">
        <v>120</v>
      </c>
      <c r="F12" s="26" t="s">
        <v>11</v>
      </c>
      <c r="G12" s="26" t="s">
        <v>11</v>
      </c>
      <c r="H12" s="23" t="s">
        <v>137</v>
      </c>
    </row>
    <row r="13" ht="15.75" customHeight="1">
      <c r="A13" s="22">
        <v>8410.0</v>
      </c>
      <c r="B13" s="23" t="s">
        <v>8</v>
      </c>
      <c r="C13" s="23"/>
      <c r="D13" s="24" t="s">
        <v>9</v>
      </c>
      <c r="E13" s="25" t="s">
        <v>43</v>
      </c>
      <c r="F13" s="26" t="s">
        <v>15</v>
      </c>
      <c r="G13" s="26" t="s">
        <v>15</v>
      </c>
      <c r="H13" s="23" t="s">
        <v>137</v>
      </c>
    </row>
    <row r="14" ht="15.75" customHeight="1">
      <c r="A14" s="22">
        <v>8679.0</v>
      </c>
      <c r="B14" s="23" t="s">
        <v>8</v>
      </c>
      <c r="C14" s="23"/>
      <c r="D14" s="24" t="s">
        <v>146</v>
      </c>
      <c r="E14" s="27" t="s">
        <v>44</v>
      </c>
      <c r="F14" s="26" t="s">
        <v>15</v>
      </c>
      <c r="G14" s="26" t="s">
        <v>15</v>
      </c>
      <c r="H14" s="23" t="s">
        <v>137</v>
      </c>
    </row>
    <row r="15" ht="15.75" customHeight="1">
      <c r="A15" s="22">
        <v>9878.0</v>
      </c>
      <c r="B15" s="23" t="s">
        <v>8</v>
      </c>
      <c r="C15" s="23"/>
      <c r="D15" s="24" t="s">
        <v>9</v>
      </c>
      <c r="E15" s="25" t="s">
        <v>45</v>
      </c>
      <c r="F15" s="26" t="s">
        <v>15</v>
      </c>
      <c r="G15" s="26" t="s">
        <v>15</v>
      </c>
      <c r="H15" s="23" t="s">
        <v>137</v>
      </c>
    </row>
    <row r="16" ht="15.75" customHeight="1">
      <c r="A16" s="22">
        <v>86974.0</v>
      </c>
      <c r="B16" s="23" t="s">
        <v>12</v>
      </c>
      <c r="C16" s="23"/>
      <c r="D16" s="24" t="s">
        <v>13</v>
      </c>
      <c r="E16" s="25" t="s">
        <v>114</v>
      </c>
      <c r="F16" s="26" t="s">
        <v>11</v>
      </c>
      <c r="G16" s="26" t="s">
        <v>11</v>
      </c>
      <c r="H16" s="23" t="s">
        <v>137</v>
      </c>
    </row>
    <row r="17" ht="15.75" customHeight="1">
      <c r="A17" s="22">
        <v>106966.0</v>
      </c>
      <c r="B17" s="23" t="s">
        <v>12</v>
      </c>
      <c r="C17" s="23"/>
      <c r="D17" s="24" t="s">
        <v>13</v>
      </c>
      <c r="E17" s="25" t="s">
        <v>115</v>
      </c>
      <c r="F17" s="26" t="s">
        <v>11</v>
      </c>
      <c r="G17" s="26" t="s">
        <v>11</v>
      </c>
      <c r="H17" s="23" t="s">
        <v>137</v>
      </c>
    </row>
    <row r="18" ht="15.75" customHeight="1">
      <c r="A18" s="22">
        <v>108204.0</v>
      </c>
      <c r="B18" s="23" t="s">
        <v>12</v>
      </c>
      <c r="C18" s="23"/>
      <c r="D18" s="24" t="s">
        <v>13</v>
      </c>
      <c r="E18" s="25" t="s">
        <v>116</v>
      </c>
      <c r="F18" s="26" t="s">
        <v>11</v>
      </c>
      <c r="G18" s="26" t="s">
        <v>15</v>
      </c>
      <c r="H18" s="26" t="s">
        <v>11</v>
      </c>
    </row>
    <row r="19" ht="15.75" customHeight="1">
      <c r="A19" s="22">
        <v>118123.0</v>
      </c>
      <c r="B19" s="23" t="s">
        <v>12</v>
      </c>
      <c r="C19" s="23"/>
      <c r="D19" s="24" t="s">
        <v>13</v>
      </c>
      <c r="E19" s="25" t="s">
        <v>14</v>
      </c>
      <c r="F19" s="26" t="s">
        <v>11</v>
      </c>
      <c r="G19" s="26" t="s">
        <v>15</v>
      </c>
      <c r="H19" s="26" t="s">
        <v>15</v>
      </c>
    </row>
    <row r="20" ht="15.75" customHeight="1">
      <c r="A20" s="22">
        <v>127213.0</v>
      </c>
      <c r="B20" s="23" t="s">
        <v>12</v>
      </c>
      <c r="C20" s="23"/>
      <c r="D20" s="24" t="s">
        <v>13</v>
      </c>
      <c r="E20" s="25" t="s">
        <v>17</v>
      </c>
      <c r="F20" s="26" t="s">
        <v>15</v>
      </c>
      <c r="G20" s="26" t="s">
        <v>15</v>
      </c>
      <c r="H20" s="23" t="s">
        <v>137</v>
      </c>
    </row>
    <row r="21" ht="15.75" customHeight="1">
      <c r="A21" s="28">
        <v>9914.0</v>
      </c>
      <c r="B21" s="29" t="s">
        <v>8</v>
      </c>
      <c r="C21" s="29"/>
      <c r="D21" s="30" t="str">
        <f t="shared" ref="D21:D35" si="1">_xludf.CONCAT("https://pm.stackexchange.com/questions/",A21)</f>
        <v>#NAME?</v>
      </c>
      <c r="E21" s="31" t="s">
        <v>99</v>
      </c>
      <c r="F21" s="32" t="s">
        <v>15</v>
      </c>
      <c r="G21" s="32" t="s">
        <v>11</v>
      </c>
      <c r="H21" s="32" t="s">
        <v>11</v>
      </c>
    </row>
    <row r="22" ht="15.75" customHeight="1">
      <c r="A22" s="28">
        <v>10026.0</v>
      </c>
      <c r="B22" s="29" t="s">
        <v>8</v>
      </c>
      <c r="C22" s="29"/>
      <c r="D22" s="30" t="str">
        <f t="shared" si="1"/>
        <v>#NAME?</v>
      </c>
      <c r="E22" s="31" t="s">
        <v>100</v>
      </c>
      <c r="F22" s="32" t="s">
        <v>49</v>
      </c>
      <c r="G22" s="32" t="s">
        <v>49</v>
      </c>
      <c r="H22" s="29" t="s">
        <v>137</v>
      </c>
    </row>
    <row r="23" ht="15.75" customHeight="1">
      <c r="A23" s="28">
        <v>11247.0</v>
      </c>
      <c r="B23" s="29" t="s">
        <v>8</v>
      </c>
      <c r="C23" s="29"/>
      <c r="D23" s="30" t="str">
        <f t="shared" si="1"/>
        <v>#NAME?</v>
      </c>
      <c r="E23" s="31" t="s">
        <v>57</v>
      </c>
      <c r="F23" s="32" t="s">
        <v>15</v>
      </c>
      <c r="G23" s="32" t="s">
        <v>11</v>
      </c>
      <c r="H23" s="32" t="s">
        <v>15</v>
      </c>
    </row>
    <row r="24" ht="15.75" customHeight="1">
      <c r="A24" s="28">
        <v>12641.0</v>
      </c>
      <c r="B24" s="29" t="s">
        <v>8</v>
      </c>
      <c r="C24" s="29"/>
      <c r="D24" s="30" t="str">
        <f t="shared" si="1"/>
        <v>#NAME?</v>
      </c>
      <c r="E24" s="31" t="s">
        <v>59</v>
      </c>
      <c r="F24" s="32" t="s">
        <v>15</v>
      </c>
      <c r="G24" s="32" t="s">
        <v>15</v>
      </c>
      <c r="H24" s="29" t="s">
        <v>137</v>
      </c>
    </row>
    <row r="25" ht="15.75" customHeight="1">
      <c r="A25" s="28">
        <v>14189.0</v>
      </c>
      <c r="B25" s="29" t="s">
        <v>8</v>
      </c>
      <c r="C25" s="29"/>
      <c r="D25" s="30" t="str">
        <f t="shared" si="1"/>
        <v>#NAME?</v>
      </c>
      <c r="E25" s="31" t="s">
        <v>65</v>
      </c>
      <c r="F25" s="32" t="s">
        <v>15</v>
      </c>
      <c r="G25" s="32" t="s">
        <v>15</v>
      </c>
      <c r="H25" s="29" t="s">
        <v>137</v>
      </c>
    </row>
    <row r="26" ht="15.75" customHeight="1">
      <c r="A26" s="28">
        <v>14229.0</v>
      </c>
      <c r="B26" s="29" t="s">
        <v>8</v>
      </c>
      <c r="C26" s="29"/>
      <c r="D26" s="30" t="str">
        <f t="shared" si="1"/>
        <v>#NAME?</v>
      </c>
      <c r="E26" s="31" t="s">
        <v>104</v>
      </c>
      <c r="F26" s="32" t="s">
        <v>11</v>
      </c>
      <c r="G26" s="32" t="s">
        <v>11</v>
      </c>
      <c r="H26" s="29" t="s">
        <v>137</v>
      </c>
    </row>
    <row r="27" ht="15.75" customHeight="1">
      <c r="A27" s="28">
        <v>14921.0</v>
      </c>
      <c r="B27" s="29" t="s">
        <v>8</v>
      </c>
      <c r="C27" s="29"/>
      <c r="D27" s="30" t="str">
        <f t="shared" si="1"/>
        <v>#NAME?</v>
      </c>
      <c r="E27" s="31" t="s">
        <v>105</v>
      </c>
      <c r="F27" s="32" t="s">
        <v>11</v>
      </c>
      <c r="G27" s="32" t="s">
        <v>11</v>
      </c>
      <c r="H27" s="29" t="s">
        <v>137</v>
      </c>
    </row>
    <row r="28" ht="15.75" customHeight="1">
      <c r="A28" s="28">
        <v>17588.0</v>
      </c>
      <c r="B28" s="29" t="s">
        <v>8</v>
      </c>
      <c r="C28" s="29"/>
      <c r="D28" s="30" t="str">
        <f t="shared" si="1"/>
        <v>#NAME?</v>
      </c>
      <c r="E28" s="31" t="s">
        <v>106</v>
      </c>
      <c r="F28" s="32" t="s">
        <v>11</v>
      </c>
      <c r="G28" s="32" t="s">
        <v>11</v>
      </c>
      <c r="H28" s="29" t="s">
        <v>137</v>
      </c>
    </row>
    <row r="29" ht="15.75" customHeight="1">
      <c r="A29" s="28">
        <v>17835.0</v>
      </c>
      <c r="B29" s="29" t="s">
        <v>8</v>
      </c>
      <c r="C29" s="29"/>
      <c r="D29" s="30" t="str">
        <f t="shared" si="1"/>
        <v>#NAME?</v>
      </c>
      <c r="E29" s="31" t="s">
        <v>107</v>
      </c>
      <c r="F29" s="32" t="s">
        <v>11</v>
      </c>
      <c r="G29" s="32" t="s">
        <v>15</v>
      </c>
      <c r="H29" s="33" t="s">
        <v>11</v>
      </c>
    </row>
    <row r="30" ht="15.75" customHeight="1">
      <c r="A30" s="28">
        <v>18301.0</v>
      </c>
      <c r="B30" s="29" t="s">
        <v>8</v>
      </c>
      <c r="C30" s="29"/>
      <c r="D30" s="30" t="str">
        <f t="shared" si="1"/>
        <v>#NAME?</v>
      </c>
      <c r="E30" s="31" t="s">
        <v>76</v>
      </c>
      <c r="F30" s="32" t="s">
        <v>11</v>
      </c>
      <c r="G30" s="32" t="s">
        <v>15</v>
      </c>
      <c r="H30" s="32" t="s">
        <v>15</v>
      </c>
    </row>
    <row r="31" ht="15.75" customHeight="1">
      <c r="A31" s="28">
        <v>18484.0</v>
      </c>
      <c r="B31" s="29" t="s">
        <v>8</v>
      </c>
      <c r="C31" s="29"/>
      <c r="D31" s="30" t="str">
        <f t="shared" si="1"/>
        <v>#NAME?</v>
      </c>
      <c r="E31" s="31" t="s">
        <v>109</v>
      </c>
      <c r="F31" s="32" t="s">
        <v>11</v>
      </c>
      <c r="G31" s="32" t="s">
        <v>11</v>
      </c>
      <c r="H31" s="29" t="s">
        <v>137</v>
      </c>
    </row>
    <row r="32" ht="15.75" customHeight="1">
      <c r="A32" s="28">
        <v>20765.0</v>
      </c>
      <c r="B32" s="29" t="s">
        <v>8</v>
      </c>
      <c r="C32" s="29"/>
      <c r="D32" s="30" t="str">
        <f t="shared" si="1"/>
        <v>#NAME?</v>
      </c>
      <c r="E32" s="31" t="s">
        <v>110</v>
      </c>
      <c r="F32" s="32" t="s">
        <v>11</v>
      </c>
      <c r="G32" s="32" t="s">
        <v>11</v>
      </c>
      <c r="H32" s="29" t="s">
        <v>137</v>
      </c>
    </row>
    <row r="33" ht="15.75" customHeight="1">
      <c r="A33" s="28">
        <v>20782.0</v>
      </c>
      <c r="B33" s="29" t="s">
        <v>8</v>
      </c>
      <c r="C33" s="29"/>
      <c r="D33" s="30" t="str">
        <f t="shared" si="1"/>
        <v>#NAME?</v>
      </c>
      <c r="E33" s="31" t="s">
        <v>111</v>
      </c>
      <c r="F33" s="32" t="s">
        <v>11</v>
      </c>
      <c r="G33" s="32" t="s">
        <v>11</v>
      </c>
      <c r="H33" s="29" t="s">
        <v>137</v>
      </c>
    </row>
    <row r="34" ht="15.75" customHeight="1">
      <c r="A34" s="28">
        <v>20827.0</v>
      </c>
      <c r="B34" s="29" t="s">
        <v>8</v>
      </c>
      <c r="C34" s="29"/>
      <c r="D34" s="30" t="str">
        <f t="shared" si="1"/>
        <v>#NAME?</v>
      </c>
      <c r="E34" s="31" t="s">
        <v>84</v>
      </c>
      <c r="F34" s="32" t="s">
        <v>15</v>
      </c>
      <c r="G34" s="32" t="s">
        <v>15</v>
      </c>
      <c r="H34" s="29" t="s">
        <v>137</v>
      </c>
    </row>
    <row r="35" ht="15.75" customHeight="1">
      <c r="A35" s="28">
        <v>21219.0</v>
      </c>
      <c r="B35" s="29" t="s">
        <v>8</v>
      </c>
      <c r="C35" s="29"/>
      <c r="D35" s="30" t="str">
        <f t="shared" si="1"/>
        <v>#NAME?</v>
      </c>
      <c r="E35" s="31" t="s">
        <v>113</v>
      </c>
      <c r="F35" s="32" t="s">
        <v>11</v>
      </c>
      <c r="G35" s="32" t="s">
        <v>11</v>
      </c>
      <c r="H35" s="29" t="s">
        <v>137</v>
      </c>
    </row>
    <row r="36" ht="15.75" customHeight="1">
      <c r="A36" s="28">
        <v>127300.0</v>
      </c>
      <c r="B36" s="29" t="s">
        <v>12</v>
      </c>
      <c r="C36" s="29"/>
      <c r="D36" s="30" t="str">
        <f t="shared" ref="D36:D50" si="2">_xludf.CONCAT("https://softwareengineering.stackexchange.com/questions/",A36)</f>
        <v>#NAME?</v>
      </c>
      <c r="E36" s="31" t="s">
        <v>42</v>
      </c>
      <c r="F36" s="32" t="s">
        <v>11</v>
      </c>
      <c r="G36" s="32" t="s">
        <v>15</v>
      </c>
      <c r="H36" s="32" t="s">
        <v>15</v>
      </c>
    </row>
    <row r="37" ht="15.75" customHeight="1">
      <c r="A37" s="28">
        <v>142779.0</v>
      </c>
      <c r="B37" s="29" t="s">
        <v>12</v>
      </c>
      <c r="C37" s="29"/>
      <c r="D37" s="30" t="str">
        <f t="shared" si="2"/>
        <v>#NAME?</v>
      </c>
      <c r="E37" s="31" t="s">
        <v>85</v>
      </c>
      <c r="F37" s="32" t="s">
        <v>11</v>
      </c>
      <c r="G37" s="32" t="s">
        <v>11</v>
      </c>
      <c r="H37" s="29" t="s">
        <v>137</v>
      </c>
    </row>
    <row r="38" ht="15.75" customHeight="1">
      <c r="A38" s="28">
        <v>147937.0</v>
      </c>
      <c r="B38" s="29" t="s">
        <v>12</v>
      </c>
      <c r="C38" s="29"/>
      <c r="D38" s="30" t="str">
        <f t="shared" si="2"/>
        <v>#NAME?</v>
      </c>
      <c r="E38" s="31" t="s">
        <v>28</v>
      </c>
      <c r="F38" s="32" t="s">
        <v>15</v>
      </c>
      <c r="G38" s="32" t="s">
        <v>15</v>
      </c>
      <c r="H38" s="29" t="s">
        <v>137</v>
      </c>
    </row>
    <row r="39" ht="15.75" customHeight="1">
      <c r="A39" s="28">
        <v>156771.0</v>
      </c>
      <c r="B39" s="29" t="s">
        <v>12</v>
      </c>
      <c r="C39" s="29"/>
      <c r="D39" s="30" t="str">
        <f t="shared" si="2"/>
        <v>#NAME?</v>
      </c>
      <c r="E39" s="31" t="s">
        <v>87</v>
      </c>
      <c r="F39" s="32" t="s">
        <v>11</v>
      </c>
      <c r="G39" s="32" t="s">
        <v>11</v>
      </c>
      <c r="H39" s="29" t="s">
        <v>137</v>
      </c>
    </row>
    <row r="40" ht="15.75" customHeight="1">
      <c r="A40" s="28">
        <v>158044.0</v>
      </c>
      <c r="B40" s="29" t="s">
        <v>12</v>
      </c>
      <c r="C40" s="29"/>
      <c r="D40" s="30" t="str">
        <f t="shared" si="2"/>
        <v>#NAME?</v>
      </c>
      <c r="E40" s="31" t="s">
        <v>88</v>
      </c>
      <c r="F40" s="32" t="s">
        <v>11</v>
      </c>
      <c r="G40" s="32" t="s">
        <v>11</v>
      </c>
      <c r="H40" s="29" t="s">
        <v>137</v>
      </c>
    </row>
    <row r="41" ht="15.75" customHeight="1">
      <c r="A41" s="28">
        <v>162786.0</v>
      </c>
      <c r="B41" s="29" t="s">
        <v>12</v>
      </c>
      <c r="C41" s="29"/>
      <c r="D41" s="30" t="str">
        <f t="shared" si="2"/>
        <v>#NAME?</v>
      </c>
      <c r="E41" s="31" t="s">
        <v>89</v>
      </c>
      <c r="F41" s="32" t="s">
        <v>49</v>
      </c>
      <c r="G41" s="32" t="s">
        <v>15</v>
      </c>
      <c r="H41" s="32" t="s">
        <v>11</v>
      </c>
    </row>
    <row r="42" ht="15.75" customHeight="1">
      <c r="A42" s="28">
        <v>166235.0</v>
      </c>
      <c r="B42" s="29" t="s">
        <v>12</v>
      </c>
      <c r="C42" s="29"/>
      <c r="D42" s="30" t="str">
        <f t="shared" si="2"/>
        <v>#NAME?</v>
      </c>
      <c r="E42" s="31" t="s">
        <v>90</v>
      </c>
      <c r="F42" s="32" t="s">
        <v>11</v>
      </c>
      <c r="G42" s="32" t="s">
        <v>11</v>
      </c>
      <c r="H42" s="29" t="s">
        <v>137</v>
      </c>
    </row>
    <row r="43" ht="15.75" customHeight="1">
      <c r="A43" s="28">
        <v>176089.0</v>
      </c>
      <c r="B43" s="29" t="s">
        <v>12</v>
      </c>
      <c r="C43" s="29"/>
      <c r="D43" s="30" t="str">
        <f t="shared" si="2"/>
        <v>#NAME?</v>
      </c>
      <c r="E43" s="31" t="s">
        <v>91</v>
      </c>
      <c r="F43" s="32" t="s">
        <v>11</v>
      </c>
      <c r="G43" s="32" t="s">
        <v>11</v>
      </c>
      <c r="H43" s="29" t="s">
        <v>137</v>
      </c>
    </row>
    <row r="44" ht="15.75" customHeight="1">
      <c r="A44" s="28">
        <v>188059.0</v>
      </c>
      <c r="B44" s="29" t="s">
        <v>12</v>
      </c>
      <c r="C44" s="29"/>
      <c r="D44" s="30" t="str">
        <f t="shared" si="2"/>
        <v>#NAME?</v>
      </c>
      <c r="E44" s="31" t="s">
        <v>92</v>
      </c>
      <c r="F44" s="32" t="s">
        <v>11</v>
      </c>
      <c r="G44" s="32" t="s">
        <v>11</v>
      </c>
      <c r="H44" s="29" t="s">
        <v>137</v>
      </c>
    </row>
    <row r="45" ht="15.75" customHeight="1">
      <c r="A45" s="28">
        <v>194026.0</v>
      </c>
      <c r="B45" s="29" t="s">
        <v>12</v>
      </c>
      <c r="C45" s="29"/>
      <c r="D45" s="30" t="str">
        <f t="shared" si="2"/>
        <v>#NAME?</v>
      </c>
      <c r="E45" s="31" t="s">
        <v>93</v>
      </c>
      <c r="F45" s="32" t="s">
        <v>11</v>
      </c>
      <c r="G45" s="32" t="s">
        <v>11</v>
      </c>
      <c r="H45" s="29" t="s">
        <v>137</v>
      </c>
    </row>
    <row r="46" ht="15.75" customHeight="1">
      <c r="A46" s="28">
        <v>194180.0</v>
      </c>
      <c r="B46" s="29" t="s">
        <v>12</v>
      </c>
      <c r="C46" s="29"/>
      <c r="D46" s="30" t="str">
        <f t="shared" si="2"/>
        <v>#NAME?</v>
      </c>
      <c r="E46" s="31" t="s">
        <v>130</v>
      </c>
      <c r="F46" s="32" t="s">
        <v>15</v>
      </c>
      <c r="G46" s="32" t="s">
        <v>15</v>
      </c>
      <c r="H46" s="29" t="s">
        <v>137</v>
      </c>
    </row>
    <row r="47" ht="15.75" customHeight="1">
      <c r="A47" s="28">
        <v>200645.0</v>
      </c>
      <c r="B47" s="29" t="s">
        <v>12</v>
      </c>
      <c r="C47" s="29"/>
      <c r="D47" s="30" t="str">
        <f t="shared" si="2"/>
        <v>#NAME?</v>
      </c>
      <c r="E47" s="31" t="s">
        <v>95</v>
      </c>
      <c r="F47" s="32" t="s">
        <v>11</v>
      </c>
      <c r="G47" s="32" t="s">
        <v>11</v>
      </c>
      <c r="H47" s="29" t="s">
        <v>137</v>
      </c>
    </row>
    <row r="48" ht="15.75" customHeight="1">
      <c r="A48" s="28">
        <v>203523.0</v>
      </c>
      <c r="B48" s="29" t="s">
        <v>12</v>
      </c>
      <c r="C48" s="29"/>
      <c r="D48" s="30" t="str">
        <f t="shared" si="2"/>
        <v>#NAME?</v>
      </c>
      <c r="E48" s="31" t="s">
        <v>96</v>
      </c>
      <c r="F48" s="32" t="s">
        <v>11</v>
      </c>
      <c r="G48" s="32" t="s">
        <v>11</v>
      </c>
      <c r="H48" s="29" t="s">
        <v>137</v>
      </c>
    </row>
    <row r="49" ht="15.75" customHeight="1">
      <c r="A49" s="28">
        <v>204904.0</v>
      </c>
      <c r="B49" s="29" t="s">
        <v>12</v>
      </c>
      <c r="C49" s="29"/>
      <c r="D49" s="30" t="str">
        <f t="shared" si="2"/>
        <v>#NAME?</v>
      </c>
      <c r="E49" s="31" t="s">
        <v>97</v>
      </c>
      <c r="F49" s="32" t="s">
        <v>11</v>
      </c>
      <c r="G49" s="32" t="s">
        <v>11</v>
      </c>
      <c r="H49" s="29" t="s">
        <v>137</v>
      </c>
    </row>
    <row r="50" ht="15.75" customHeight="1">
      <c r="A50" s="28">
        <v>216560.0</v>
      </c>
      <c r="B50" s="29" t="s">
        <v>12</v>
      </c>
      <c r="C50" s="29"/>
      <c r="D50" s="30" t="str">
        <f t="shared" si="2"/>
        <v>#NAME?</v>
      </c>
      <c r="E50" s="31" t="s">
        <v>98</v>
      </c>
      <c r="F50" s="32" t="s">
        <v>11</v>
      </c>
      <c r="G50" s="32" t="s">
        <v>11</v>
      </c>
      <c r="H50" s="29" t="s">
        <v>137</v>
      </c>
    </row>
    <row r="51" ht="15.75" customHeight="1">
      <c r="A51" s="34">
        <v>22001.0</v>
      </c>
      <c r="B51" s="35" t="s">
        <v>8</v>
      </c>
      <c r="C51" s="35"/>
      <c r="D51" s="36" t="str">
        <f t="shared" ref="D51:D65" si="3">_xludf.CONCAT("https://pm.stackexchange.com/questions/",A51)</f>
        <v>#NAME?</v>
      </c>
      <c r="E51" s="37" t="s">
        <v>81</v>
      </c>
      <c r="F51" s="38" t="s">
        <v>15</v>
      </c>
      <c r="G51" s="38" t="s">
        <v>15</v>
      </c>
      <c r="H51" s="35" t="s">
        <v>137</v>
      </c>
    </row>
    <row r="52" ht="15.75" customHeight="1">
      <c r="A52" s="34">
        <v>22155.0</v>
      </c>
      <c r="B52" s="35" t="s">
        <v>8</v>
      </c>
      <c r="C52" s="35"/>
      <c r="D52" s="36" t="str">
        <f t="shared" si="3"/>
        <v>#NAME?</v>
      </c>
      <c r="E52" s="37" t="s">
        <v>70</v>
      </c>
      <c r="F52" s="38" t="s">
        <v>11</v>
      </c>
      <c r="G52" s="38" t="s">
        <v>11</v>
      </c>
      <c r="H52" s="35" t="s">
        <v>137</v>
      </c>
    </row>
    <row r="53" ht="15.75" customHeight="1">
      <c r="A53" s="34">
        <v>22192.0</v>
      </c>
      <c r="B53" s="35" t="s">
        <v>8</v>
      </c>
      <c r="C53" s="35"/>
      <c r="D53" s="36" t="str">
        <f t="shared" si="3"/>
        <v>#NAME?</v>
      </c>
      <c r="E53" s="37" t="s">
        <v>71</v>
      </c>
      <c r="F53" s="38" t="s">
        <v>11</v>
      </c>
      <c r="G53" s="38" t="s">
        <v>11</v>
      </c>
      <c r="H53" s="35" t="s">
        <v>137</v>
      </c>
    </row>
    <row r="54" ht="15.75" customHeight="1">
      <c r="A54" s="34">
        <v>22800.0</v>
      </c>
      <c r="B54" s="35" t="s">
        <v>8</v>
      </c>
      <c r="C54" s="35"/>
      <c r="D54" s="36" t="str">
        <f t="shared" si="3"/>
        <v>#NAME?</v>
      </c>
      <c r="E54" s="37" t="s">
        <v>72</v>
      </c>
      <c r="F54" s="38" t="s">
        <v>11</v>
      </c>
      <c r="G54" s="38" t="s">
        <v>11</v>
      </c>
      <c r="H54" s="35" t="s">
        <v>137</v>
      </c>
    </row>
    <row r="55" ht="15.75" customHeight="1">
      <c r="A55" s="34">
        <v>23855.0</v>
      </c>
      <c r="B55" s="35" t="s">
        <v>8</v>
      </c>
      <c r="C55" s="35"/>
      <c r="D55" s="36" t="str">
        <f t="shared" si="3"/>
        <v>#NAME?</v>
      </c>
      <c r="E55" s="37" t="s">
        <v>86</v>
      </c>
      <c r="F55" s="38" t="s">
        <v>15</v>
      </c>
      <c r="G55" s="38" t="s">
        <v>15</v>
      </c>
      <c r="H55" s="35" t="s">
        <v>137</v>
      </c>
    </row>
    <row r="56" ht="15.75" customHeight="1">
      <c r="A56" s="34">
        <v>24685.0</v>
      </c>
      <c r="B56" s="35" t="s">
        <v>8</v>
      </c>
      <c r="C56" s="35"/>
      <c r="D56" s="36" t="str">
        <f t="shared" si="3"/>
        <v>#NAME?</v>
      </c>
      <c r="E56" s="37" t="s">
        <v>74</v>
      </c>
      <c r="F56" s="38" t="s">
        <v>11</v>
      </c>
      <c r="G56" s="38" t="s">
        <v>11</v>
      </c>
      <c r="H56" s="35" t="s">
        <v>137</v>
      </c>
    </row>
    <row r="57" ht="15.75" customHeight="1">
      <c r="A57" s="34">
        <v>24909.0</v>
      </c>
      <c r="B57" s="35" t="s">
        <v>8</v>
      </c>
      <c r="C57" s="35"/>
      <c r="D57" s="36" t="str">
        <f t="shared" si="3"/>
        <v>#NAME?</v>
      </c>
      <c r="E57" s="37" t="s">
        <v>75</v>
      </c>
      <c r="F57" s="38" t="s">
        <v>11</v>
      </c>
      <c r="G57" s="38" t="s">
        <v>11</v>
      </c>
      <c r="H57" s="35" t="s">
        <v>137</v>
      </c>
    </row>
    <row r="58" ht="15.75" customHeight="1">
      <c r="A58" s="34">
        <v>25196.0</v>
      </c>
      <c r="B58" s="35" t="s">
        <v>8</v>
      </c>
      <c r="C58" s="35"/>
      <c r="D58" s="36" t="str">
        <f t="shared" si="3"/>
        <v>#NAME?</v>
      </c>
      <c r="E58" s="37" t="s">
        <v>94</v>
      </c>
      <c r="F58" s="38" t="s">
        <v>15</v>
      </c>
      <c r="G58" s="38" t="s">
        <v>15</v>
      </c>
      <c r="H58" s="35" t="s">
        <v>137</v>
      </c>
    </row>
    <row r="59" ht="15.75" customHeight="1">
      <c r="A59" s="34">
        <v>25469.0</v>
      </c>
      <c r="B59" s="35" t="s">
        <v>8</v>
      </c>
      <c r="C59" s="35"/>
      <c r="D59" s="36" t="str">
        <f t="shared" si="3"/>
        <v>#NAME?</v>
      </c>
      <c r="E59" s="37" t="s">
        <v>77</v>
      </c>
      <c r="F59" s="38" t="s">
        <v>11</v>
      </c>
      <c r="G59" s="38" t="s">
        <v>11</v>
      </c>
      <c r="H59" s="35" t="s">
        <v>137</v>
      </c>
    </row>
    <row r="60" ht="15.75" customHeight="1">
      <c r="A60" s="34">
        <v>25637.0</v>
      </c>
      <c r="B60" s="35" t="s">
        <v>8</v>
      </c>
      <c r="C60" s="35"/>
      <c r="D60" s="36" t="str">
        <f t="shared" si="3"/>
        <v>#NAME?</v>
      </c>
      <c r="E60" s="37" t="s">
        <v>117</v>
      </c>
      <c r="F60" s="38" t="s">
        <v>15</v>
      </c>
      <c r="G60" s="38" t="s">
        <v>11</v>
      </c>
      <c r="H60" s="38" t="s">
        <v>15</v>
      </c>
    </row>
    <row r="61" ht="15.75" customHeight="1">
      <c r="A61" s="34">
        <v>25714.0</v>
      </c>
      <c r="B61" s="35" t="s">
        <v>8</v>
      </c>
      <c r="C61" s="35"/>
      <c r="D61" s="36" t="str">
        <f t="shared" si="3"/>
        <v>#NAME?</v>
      </c>
      <c r="E61" s="37" t="s">
        <v>118</v>
      </c>
      <c r="F61" s="38" t="s">
        <v>15</v>
      </c>
      <c r="G61" s="38" t="s">
        <v>15</v>
      </c>
      <c r="H61" s="35" t="s">
        <v>137</v>
      </c>
    </row>
    <row r="62" ht="15.75" customHeight="1">
      <c r="A62" s="34">
        <v>25729.0</v>
      </c>
      <c r="B62" s="35" t="s">
        <v>8</v>
      </c>
      <c r="C62" s="35"/>
      <c r="D62" s="36" t="str">
        <f t="shared" si="3"/>
        <v>#NAME?</v>
      </c>
      <c r="E62" s="37" t="s">
        <v>80</v>
      </c>
      <c r="F62" s="38" t="s">
        <v>11</v>
      </c>
      <c r="G62" s="38" t="s">
        <v>11</v>
      </c>
      <c r="H62" s="35" t="s">
        <v>137</v>
      </c>
    </row>
    <row r="63" ht="15.75" customHeight="1">
      <c r="A63" s="34">
        <v>25744.0</v>
      </c>
      <c r="B63" s="35" t="s">
        <v>8</v>
      </c>
      <c r="C63" s="35"/>
      <c r="D63" s="36" t="str">
        <f t="shared" si="3"/>
        <v>#NAME?</v>
      </c>
      <c r="E63" s="37" t="s">
        <v>121</v>
      </c>
      <c r="F63" s="38" t="s">
        <v>15</v>
      </c>
      <c r="G63" s="38" t="s">
        <v>15</v>
      </c>
      <c r="H63" s="35" t="s">
        <v>137</v>
      </c>
    </row>
    <row r="64" ht="15.75" customHeight="1">
      <c r="A64" s="34">
        <v>25875.0</v>
      </c>
      <c r="B64" s="35" t="s">
        <v>8</v>
      </c>
      <c r="C64" s="35"/>
      <c r="D64" s="36" t="str">
        <f t="shared" si="3"/>
        <v>#NAME?</v>
      </c>
      <c r="E64" s="37" t="s">
        <v>82</v>
      </c>
      <c r="F64" s="38" t="s">
        <v>11</v>
      </c>
      <c r="G64" s="38" t="s">
        <v>11</v>
      </c>
      <c r="H64" s="35" t="s">
        <v>137</v>
      </c>
    </row>
    <row r="65" ht="15.75" customHeight="1">
      <c r="A65" s="34">
        <v>26339.0</v>
      </c>
      <c r="B65" s="35" t="s">
        <v>8</v>
      </c>
      <c r="C65" s="35"/>
      <c r="D65" s="36" t="str">
        <f t="shared" si="3"/>
        <v>#NAME?</v>
      </c>
      <c r="E65" s="37" t="s">
        <v>83</v>
      </c>
      <c r="F65" s="38" t="s">
        <v>11</v>
      </c>
      <c r="G65" s="38" t="s">
        <v>11</v>
      </c>
      <c r="H65" s="35" t="s">
        <v>137</v>
      </c>
    </row>
    <row r="66" ht="15.75" customHeight="1">
      <c r="A66" s="34">
        <v>228110.0</v>
      </c>
      <c r="B66" s="35" t="s">
        <v>12</v>
      </c>
      <c r="C66" s="35"/>
      <c r="D66" s="36" t="str">
        <f t="shared" ref="D66:D80" si="4">_xludf.CONCAT("https://softwareengineering.stackexchange.com/questions/",A66)</f>
        <v>#NAME?</v>
      </c>
      <c r="E66" s="37" t="s">
        <v>66</v>
      </c>
      <c r="F66" s="38" t="s">
        <v>11</v>
      </c>
      <c r="G66" s="38" t="s">
        <v>15</v>
      </c>
      <c r="H66" s="38" t="s">
        <v>15</v>
      </c>
    </row>
    <row r="67" ht="15.75" customHeight="1">
      <c r="A67" s="34">
        <v>231273.0</v>
      </c>
      <c r="B67" s="35" t="s">
        <v>12</v>
      </c>
      <c r="C67" s="35"/>
      <c r="D67" s="36" t="str">
        <f t="shared" si="4"/>
        <v>#NAME?</v>
      </c>
      <c r="E67" s="37" t="s">
        <v>54</v>
      </c>
      <c r="F67" s="38" t="s">
        <v>15</v>
      </c>
      <c r="G67" s="38" t="s">
        <v>15</v>
      </c>
      <c r="H67" s="35" t="s">
        <v>137</v>
      </c>
    </row>
    <row r="68" ht="15.75" customHeight="1">
      <c r="A68" s="34">
        <v>232488.0</v>
      </c>
      <c r="B68" s="35" t="s">
        <v>12</v>
      </c>
      <c r="C68" s="35"/>
      <c r="D68" s="36" t="str">
        <f t="shared" si="4"/>
        <v>#NAME?</v>
      </c>
      <c r="E68" s="37" t="s">
        <v>68</v>
      </c>
      <c r="F68" s="38" t="s">
        <v>15</v>
      </c>
      <c r="G68" s="38" t="s">
        <v>11</v>
      </c>
      <c r="H68" s="38" t="s">
        <v>15</v>
      </c>
    </row>
    <row r="69" ht="15.75" customHeight="1">
      <c r="A69" s="34">
        <v>234758.0</v>
      </c>
      <c r="B69" s="35" t="s">
        <v>12</v>
      </c>
      <c r="C69" s="35"/>
      <c r="D69" s="36" t="str">
        <f t="shared" si="4"/>
        <v>#NAME?</v>
      </c>
      <c r="E69" s="37" t="s">
        <v>55</v>
      </c>
      <c r="F69" s="38" t="s">
        <v>11</v>
      </c>
      <c r="G69" s="38" t="s">
        <v>15</v>
      </c>
      <c r="H69" s="38" t="s">
        <v>15</v>
      </c>
    </row>
    <row r="70" ht="15.75" customHeight="1">
      <c r="A70" s="34">
        <v>239247.0</v>
      </c>
      <c r="B70" s="35" t="s">
        <v>12</v>
      </c>
      <c r="C70" s="35"/>
      <c r="D70" s="36" t="str">
        <f t="shared" si="4"/>
        <v>#NAME?</v>
      </c>
      <c r="E70" s="37" t="s">
        <v>58</v>
      </c>
      <c r="F70" s="38" t="s">
        <v>11</v>
      </c>
      <c r="G70" s="38" t="s">
        <v>11</v>
      </c>
      <c r="H70" s="35" t="s">
        <v>137</v>
      </c>
    </row>
    <row r="71" ht="15.75" customHeight="1">
      <c r="A71" s="34">
        <v>240325.0</v>
      </c>
      <c r="B71" s="35" t="s">
        <v>12</v>
      </c>
      <c r="C71" s="35"/>
      <c r="D71" s="36" t="str">
        <f t="shared" si="4"/>
        <v>#NAME?</v>
      </c>
      <c r="E71" s="37" t="s">
        <v>56</v>
      </c>
      <c r="F71" s="38" t="s">
        <v>15</v>
      </c>
      <c r="G71" s="38" t="s">
        <v>15</v>
      </c>
      <c r="H71" s="35" t="s">
        <v>137</v>
      </c>
    </row>
    <row r="72" ht="15.75" customHeight="1">
      <c r="A72" s="34">
        <v>247154.0</v>
      </c>
      <c r="B72" s="35" t="s">
        <v>12</v>
      </c>
      <c r="C72" s="35"/>
      <c r="D72" s="36" t="str">
        <f t="shared" si="4"/>
        <v>#NAME?</v>
      </c>
      <c r="E72" s="37" t="s">
        <v>60</v>
      </c>
      <c r="F72" s="38" t="s">
        <v>11</v>
      </c>
      <c r="G72" s="38" t="s">
        <v>11</v>
      </c>
      <c r="H72" s="35" t="s">
        <v>137</v>
      </c>
    </row>
    <row r="73" ht="15.75" customHeight="1">
      <c r="A73" s="34">
        <v>255110.0</v>
      </c>
      <c r="B73" s="35" t="s">
        <v>12</v>
      </c>
      <c r="C73" s="35"/>
      <c r="D73" s="36" t="str">
        <f t="shared" si="4"/>
        <v>#NAME?</v>
      </c>
      <c r="E73" s="35" t="s">
        <v>61</v>
      </c>
      <c r="F73" s="38" t="s">
        <v>11</v>
      </c>
      <c r="G73" s="38" t="s">
        <v>11</v>
      </c>
      <c r="H73" s="35" t="s">
        <v>137</v>
      </c>
    </row>
    <row r="74" ht="15.75" customHeight="1">
      <c r="A74" s="34">
        <v>256543.0</v>
      </c>
      <c r="B74" s="35" t="s">
        <v>12</v>
      </c>
      <c r="C74" s="35"/>
      <c r="D74" s="36" t="str">
        <f t="shared" si="4"/>
        <v>#NAME?</v>
      </c>
      <c r="E74" s="37" t="s">
        <v>62</v>
      </c>
      <c r="F74" s="38" t="s">
        <v>15</v>
      </c>
      <c r="G74" s="38" t="s">
        <v>11</v>
      </c>
      <c r="H74" s="39" t="s">
        <v>11</v>
      </c>
    </row>
    <row r="75" ht="15.75" customHeight="1">
      <c r="A75" s="34">
        <v>300649.0</v>
      </c>
      <c r="B75" s="35" t="s">
        <v>12</v>
      </c>
      <c r="C75" s="35"/>
      <c r="D75" s="36" t="str">
        <f t="shared" si="4"/>
        <v>#NAME?</v>
      </c>
      <c r="E75" s="37" t="s">
        <v>63</v>
      </c>
      <c r="F75" s="38" t="s">
        <v>11</v>
      </c>
      <c r="G75" s="38" t="s">
        <v>11</v>
      </c>
      <c r="H75" s="35" t="s">
        <v>137</v>
      </c>
    </row>
    <row r="76" ht="15.75" customHeight="1">
      <c r="A76" s="34">
        <v>310705.0</v>
      </c>
      <c r="B76" s="35" t="s">
        <v>12</v>
      </c>
      <c r="C76" s="35"/>
      <c r="D76" s="36" t="str">
        <f t="shared" si="4"/>
        <v>#NAME?</v>
      </c>
      <c r="E76" s="37" t="s">
        <v>64</v>
      </c>
      <c r="F76" s="38" t="s">
        <v>11</v>
      </c>
      <c r="G76" s="38" t="s">
        <v>11</v>
      </c>
      <c r="H76" s="35" t="s">
        <v>137</v>
      </c>
    </row>
    <row r="77" ht="15.75" customHeight="1">
      <c r="A77" s="34">
        <v>315641.0</v>
      </c>
      <c r="B77" s="35" t="s">
        <v>12</v>
      </c>
      <c r="C77" s="35"/>
      <c r="D77" s="36" t="str">
        <f t="shared" si="4"/>
        <v>#NAME?</v>
      </c>
      <c r="E77" s="37" t="s">
        <v>69</v>
      </c>
      <c r="F77" s="38" t="s">
        <v>15</v>
      </c>
      <c r="G77" s="38" t="s">
        <v>15</v>
      </c>
      <c r="H77" s="35" t="s">
        <v>137</v>
      </c>
    </row>
    <row r="78" ht="15.75" customHeight="1">
      <c r="A78" s="34">
        <v>323107.0</v>
      </c>
      <c r="B78" s="35" t="s">
        <v>12</v>
      </c>
      <c r="C78" s="35"/>
      <c r="D78" s="36" t="str">
        <f t="shared" si="4"/>
        <v>#NAME?</v>
      </c>
      <c r="E78" s="37" t="s">
        <v>73</v>
      </c>
      <c r="F78" s="38" t="s">
        <v>15</v>
      </c>
      <c r="G78" s="38" t="s">
        <v>15</v>
      </c>
      <c r="H78" s="35" t="s">
        <v>137</v>
      </c>
    </row>
    <row r="79" ht="15.75" customHeight="1">
      <c r="A79" s="34">
        <v>340019.0</v>
      </c>
      <c r="B79" s="35" t="s">
        <v>12</v>
      </c>
      <c r="C79" s="35"/>
      <c r="D79" s="36" t="str">
        <f t="shared" si="4"/>
        <v>#NAME?</v>
      </c>
      <c r="E79" s="37" t="s">
        <v>67</v>
      </c>
      <c r="F79" s="38" t="s">
        <v>11</v>
      </c>
      <c r="G79" s="38" t="s">
        <v>11</v>
      </c>
      <c r="H79" s="35" t="s">
        <v>137</v>
      </c>
    </row>
    <row r="80" ht="15.75" customHeight="1">
      <c r="A80" s="34">
        <v>340712.0</v>
      </c>
      <c r="B80" s="35" t="s">
        <v>12</v>
      </c>
      <c r="C80" s="35"/>
      <c r="D80" s="36" t="str">
        <f t="shared" si="4"/>
        <v>#NAME?</v>
      </c>
      <c r="E80" s="35" t="s">
        <v>79</v>
      </c>
      <c r="F80" s="38" t="s">
        <v>15</v>
      </c>
      <c r="G80" s="38" t="s">
        <v>11</v>
      </c>
      <c r="H80" s="38" t="s">
        <v>15</v>
      </c>
    </row>
    <row r="81" ht="15.75" customHeight="1">
      <c r="A81" s="40">
        <v>26493.0</v>
      </c>
      <c r="B81" s="14" t="s">
        <v>8</v>
      </c>
      <c r="D81" s="41" t="str">
        <f t="shared" ref="D81:D94" si="5">_xludf.CONCAT("https://pm.stackexchange.com/questions/",A81)</f>
        <v>#NAME?</v>
      </c>
      <c r="E81" s="42" t="s">
        <v>10</v>
      </c>
      <c r="F81" s="43" t="s">
        <v>11</v>
      </c>
      <c r="G81" s="43" t="s">
        <v>11</v>
      </c>
      <c r="H81" s="44" t="s">
        <v>137</v>
      </c>
    </row>
    <row r="82" ht="15.75" customHeight="1">
      <c r="A82" s="40">
        <v>26673.0</v>
      </c>
      <c r="B82" s="14" t="s">
        <v>8</v>
      </c>
      <c r="D82" s="41" t="str">
        <f t="shared" si="5"/>
        <v>#NAME?</v>
      </c>
      <c r="E82" s="45" t="s">
        <v>101</v>
      </c>
      <c r="F82" s="43" t="s">
        <v>15</v>
      </c>
      <c r="G82" s="43" t="s">
        <v>11</v>
      </c>
      <c r="H82" s="43" t="s">
        <v>15</v>
      </c>
    </row>
    <row r="83" ht="15.75" customHeight="1">
      <c r="A83" s="40">
        <v>26940.0</v>
      </c>
      <c r="B83" s="14" t="s">
        <v>8</v>
      </c>
      <c r="D83" s="41" t="str">
        <f t="shared" si="5"/>
        <v>#NAME?</v>
      </c>
      <c r="E83" s="42" t="s">
        <v>16</v>
      </c>
      <c r="F83" s="43" t="s">
        <v>11</v>
      </c>
      <c r="G83" s="43" t="s">
        <v>11</v>
      </c>
      <c r="H83" s="14" t="s">
        <v>137</v>
      </c>
    </row>
    <row r="84" ht="15.75" customHeight="1">
      <c r="A84" s="40">
        <v>27494.0</v>
      </c>
      <c r="B84" s="14" t="s">
        <v>8</v>
      </c>
      <c r="D84" s="41" t="str">
        <f t="shared" si="5"/>
        <v>#NAME?</v>
      </c>
      <c r="E84" s="45" t="s">
        <v>102</v>
      </c>
      <c r="F84" s="43" t="s">
        <v>15</v>
      </c>
      <c r="G84" s="43" t="s">
        <v>15</v>
      </c>
      <c r="H84" s="14" t="s">
        <v>137</v>
      </c>
    </row>
    <row r="85" ht="15.75" customHeight="1">
      <c r="A85" s="40">
        <v>29484.0</v>
      </c>
      <c r="B85" s="14" t="s">
        <v>8</v>
      </c>
      <c r="D85" s="41" t="str">
        <f t="shared" si="5"/>
        <v>#NAME?</v>
      </c>
      <c r="E85" s="42" t="s">
        <v>18</v>
      </c>
      <c r="F85" s="43" t="s">
        <v>11</v>
      </c>
      <c r="G85" s="43" t="s">
        <v>11</v>
      </c>
      <c r="H85" s="14" t="s">
        <v>137</v>
      </c>
    </row>
    <row r="86" ht="15.75" customHeight="1">
      <c r="A86" s="40">
        <v>29486.0</v>
      </c>
      <c r="B86" s="14" t="s">
        <v>8</v>
      </c>
      <c r="D86" s="41" t="str">
        <f t="shared" si="5"/>
        <v>#NAME?</v>
      </c>
      <c r="E86" s="45" t="s">
        <v>19</v>
      </c>
      <c r="F86" s="43" t="s">
        <v>11</v>
      </c>
      <c r="G86" s="43" t="s">
        <v>11</v>
      </c>
      <c r="H86" s="14" t="s">
        <v>137</v>
      </c>
    </row>
    <row r="87" ht="15.75" customHeight="1">
      <c r="A87" s="40">
        <v>29983.0</v>
      </c>
      <c r="B87" s="14" t="s">
        <v>8</v>
      </c>
      <c r="D87" s="41" t="str">
        <f t="shared" si="5"/>
        <v>#NAME?</v>
      </c>
      <c r="E87" s="42" t="s">
        <v>20</v>
      </c>
      <c r="F87" s="43" t="s">
        <v>15</v>
      </c>
      <c r="G87" s="43" t="s">
        <v>11</v>
      </c>
      <c r="H87" s="43" t="s">
        <v>11</v>
      </c>
    </row>
    <row r="88" ht="15.75" customHeight="1">
      <c r="A88" s="40">
        <v>30061.0</v>
      </c>
      <c r="B88" s="14" t="s">
        <v>8</v>
      </c>
      <c r="D88" s="41" t="str">
        <f t="shared" si="5"/>
        <v>#NAME?</v>
      </c>
      <c r="E88" s="45" t="s">
        <v>122</v>
      </c>
      <c r="F88" s="43" t="s">
        <v>11</v>
      </c>
      <c r="G88" s="43" t="s">
        <v>15</v>
      </c>
      <c r="H88" s="43" t="s">
        <v>15</v>
      </c>
    </row>
    <row r="89" ht="15.75" customHeight="1">
      <c r="A89" s="40">
        <v>30112.0</v>
      </c>
      <c r="B89" s="14" t="s">
        <v>8</v>
      </c>
      <c r="D89" s="41" t="str">
        <f t="shared" si="5"/>
        <v>#NAME?</v>
      </c>
      <c r="E89" s="42" t="s">
        <v>22</v>
      </c>
      <c r="F89" s="43" t="s">
        <v>11</v>
      </c>
      <c r="G89" s="43" t="s">
        <v>11</v>
      </c>
      <c r="H89" s="14" t="s">
        <v>137</v>
      </c>
    </row>
    <row r="90" ht="15.75" customHeight="1">
      <c r="A90" s="40">
        <v>30538.0</v>
      </c>
      <c r="B90" s="14" t="s">
        <v>8</v>
      </c>
      <c r="D90" s="41" t="str">
        <f t="shared" si="5"/>
        <v>#NAME?</v>
      </c>
      <c r="E90" s="45" t="s">
        <v>23</v>
      </c>
      <c r="F90" s="43" t="s">
        <v>11</v>
      </c>
      <c r="G90" s="43" t="s">
        <v>11</v>
      </c>
      <c r="H90" s="14" t="s">
        <v>137</v>
      </c>
    </row>
    <row r="91" ht="15.75" customHeight="1">
      <c r="A91" s="40">
        <v>31614.0</v>
      </c>
      <c r="B91" s="14" t="s">
        <v>8</v>
      </c>
      <c r="D91" s="41" t="str">
        <f t="shared" si="5"/>
        <v>#NAME?</v>
      </c>
      <c r="E91" s="42" t="s">
        <v>124</v>
      </c>
      <c r="F91" s="43" t="s">
        <v>15</v>
      </c>
      <c r="G91" s="43" t="s">
        <v>15</v>
      </c>
      <c r="H91" s="14" t="s">
        <v>137</v>
      </c>
    </row>
    <row r="92" ht="15.75" customHeight="1">
      <c r="A92" s="40">
        <v>31666.0</v>
      </c>
      <c r="B92" s="14" t="s">
        <v>8</v>
      </c>
      <c r="D92" s="41" t="str">
        <f t="shared" si="5"/>
        <v>#NAME?</v>
      </c>
      <c r="E92" s="45" t="s">
        <v>127</v>
      </c>
      <c r="F92" s="43" t="s">
        <v>15</v>
      </c>
      <c r="G92" s="43" t="s">
        <v>15</v>
      </c>
      <c r="H92" s="14" t="s">
        <v>137</v>
      </c>
    </row>
    <row r="93" ht="15.75" customHeight="1">
      <c r="A93" s="40">
        <v>34041.0</v>
      </c>
      <c r="B93" s="14" t="s">
        <v>8</v>
      </c>
      <c r="D93" s="41" t="str">
        <f t="shared" si="5"/>
        <v>#NAME?</v>
      </c>
      <c r="E93" s="42" t="s">
        <v>132</v>
      </c>
      <c r="F93" s="43" t="s">
        <v>11</v>
      </c>
      <c r="G93" s="43" t="s">
        <v>15</v>
      </c>
      <c r="H93" s="43" t="s">
        <v>15</v>
      </c>
    </row>
    <row r="94" ht="15.75" customHeight="1">
      <c r="A94" s="40">
        <v>35439.0</v>
      </c>
      <c r="B94" s="14" t="s">
        <v>8</v>
      </c>
      <c r="D94" s="41" t="str">
        <f t="shared" si="5"/>
        <v>#NAME?</v>
      </c>
      <c r="E94" s="45" t="s">
        <v>29</v>
      </c>
      <c r="F94" s="43" t="s">
        <v>11</v>
      </c>
      <c r="G94" s="43" t="s">
        <v>11</v>
      </c>
      <c r="H94" s="14" t="s">
        <v>137</v>
      </c>
    </row>
    <row r="95" ht="15.75" customHeight="1">
      <c r="A95" s="40">
        <v>341782.0</v>
      </c>
      <c r="B95" s="14" t="s">
        <v>12</v>
      </c>
      <c r="D95" s="41" t="str">
        <f t="shared" ref="D95:D117" si="6">_xludf.CONCAT("https://softwareengineering.stackexchange.com/questions/",A95)</f>
        <v>#NAME?</v>
      </c>
      <c r="E95" s="42" t="s">
        <v>30</v>
      </c>
      <c r="F95" s="43" t="s">
        <v>11</v>
      </c>
      <c r="G95" s="43" t="s">
        <v>11</v>
      </c>
      <c r="H95" s="14" t="s">
        <v>137</v>
      </c>
    </row>
    <row r="96" ht="15.75" customHeight="1">
      <c r="A96" s="40">
        <v>343411.0</v>
      </c>
      <c r="B96" s="14" t="s">
        <v>12</v>
      </c>
      <c r="D96" s="41" t="str">
        <f t="shared" si="6"/>
        <v>#NAME?</v>
      </c>
      <c r="E96" s="45" t="s">
        <v>31</v>
      </c>
      <c r="F96" s="43" t="s">
        <v>11</v>
      </c>
      <c r="G96" s="43" t="s">
        <v>11</v>
      </c>
      <c r="H96" s="14" t="s">
        <v>137</v>
      </c>
    </row>
    <row r="97" ht="15.75" customHeight="1">
      <c r="A97" s="40">
        <v>348860.0</v>
      </c>
      <c r="B97" s="14" t="s">
        <v>12</v>
      </c>
      <c r="D97" s="41" t="str">
        <f t="shared" si="6"/>
        <v>#NAME?</v>
      </c>
      <c r="E97" s="42" t="s">
        <v>32</v>
      </c>
      <c r="F97" s="43" t="s">
        <v>11</v>
      </c>
      <c r="G97" s="43" t="s">
        <v>11</v>
      </c>
      <c r="H97" s="14" t="s">
        <v>137</v>
      </c>
    </row>
    <row r="98" ht="15.75" customHeight="1">
      <c r="A98" s="40">
        <v>352036.0</v>
      </c>
      <c r="B98" s="14" t="s">
        <v>12</v>
      </c>
      <c r="D98" s="41" t="str">
        <f t="shared" si="6"/>
        <v>#NAME?</v>
      </c>
      <c r="E98" s="45" t="s">
        <v>33</v>
      </c>
      <c r="F98" s="43" t="s">
        <v>11</v>
      </c>
      <c r="G98" s="43" t="s">
        <v>11</v>
      </c>
      <c r="H98" s="14" t="s">
        <v>137</v>
      </c>
    </row>
    <row r="99" ht="15.75" customHeight="1">
      <c r="A99" s="40">
        <v>354302.0</v>
      </c>
      <c r="B99" s="14" t="s">
        <v>12</v>
      </c>
      <c r="D99" s="41" t="str">
        <f t="shared" si="6"/>
        <v>#NAME?</v>
      </c>
      <c r="E99" s="42" t="s">
        <v>78</v>
      </c>
      <c r="F99" s="43" t="s">
        <v>15</v>
      </c>
      <c r="G99" s="43" t="s">
        <v>11</v>
      </c>
      <c r="H99" s="43" t="s">
        <v>15</v>
      </c>
    </row>
    <row r="100" ht="15.75" customHeight="1">
      <c r="A100" s="40">
        <v>357368.0</v>
      </c>
      <c r="B100" s="14" t="s">
        <v>12</v>
      </c>
      <c r="D100" s="41" t="str">
        <f t="shared" si="6"/>
        <v>#NAME?</v>
      </c>
      <c r="E100" s="45" t="s">
        <v>35</v>
      </c>
      <c r="F100" s="43" t="s">
        <v>11</v>
      </c>
      <c r="G100" s="43" t="s">
        <v>11</v>
      </c>
      <c r="H100" s="14" t="s">
        <v>137</v>
      </c>
    </row>
    <row r="101" ht="15.75" customHeight="1">
      <c r="A101" s="40">
        <v>368658.0</v>
      </c>
      <c r="B101" s="14" t="s">
        <v>12</v>
      </c>
      <c r="D101" s="41" t="str">
        <f t="shared" si="6"/>
        <v>#NAME?</v>
      </c>
      <c r="E101" s="42" t="s">
        <v>36</v>
      </c>
      <c r="F101" s="43" t="s">
        <v>11</v>
      </c>
      <c r="G101" s="43" t="s">
        <v>11</v>
      </c>
      <c r="H101" s="14" t="s">
        <v>137</v>
      </c>
    </row>
    <row r="102" ht="15.75" customHeight="1">
      <c r="A102" s="40">
        <v>373686.0</v>
      </c>
      <c r="B102" s="14" t="s">
        <v>12</v>
      </c>
      <c r="D102" s="41" t="str">
        <f t="shared" si="6"/>
        <v>#NAME?</v>
      </c>
      <c r="E102" s="45" t="s">
        <v>37</v>
      </c>
      <c r="F102" s="43" t="s">
        <v>11</v>
      </c>
      <c r="G102" s="43" t="s">
        <v>11</v>
      </c>
      <c r="H102" s="14" t="s">
        <v>137</v>
      </c>
    </row>
    <row r="103" ht="15.75" customHeight="1">
      <c r="A103" s="40">
        <v>385949.0</v>
      </c>
      <c r="B103" s="14" t="s">
        <v>12</v>
      </c>
      <c r="D103" s="41" t="str">
        <f t="shared" si="6"/>
        <v>#NAME?</v>
      </c>
      <c r="E103" s="46" t="s">
        <v>38</v>
      </c>
      <c r="F103" s="43" t="s">
        <v>15</v>
      </c>
      <c r="G103" s="43" t="s">
        <v>11</v>
      </c>
      <c r="H103" s="43" t="s">
        <v>11</v>
      </c>
    </row>
    <row r="104" ht="15.75" customHeight="1">
      <c r="A104" s="40">
        <v>386016.0</v>
      </c>
      <c r="B104" s="14" t="s">
        <v>12</v>
      </c>
      <c r="D104" s="41" t="str">
        <f t="shared" si="6"/>
        <v>#NAME?</v>
      </c>
      <c r="E104" s="45" t="s">
        <v>39</v>
      </c>
      <c r="F104" s="43" t="s">
        <v>11</v>
      </c>
      <c r="G104" s="43" t="s">
        <v>11</v>
      </c>
      <c r="H104" s="14" t="s">
        <v>137</v>
      </c>
    </row>
    <row r="105" ht="15.75" customHeight="1">
      <c r="A105" s="40">
        <v>388522.0</v>
      </c>
      <c r="B105" s="14" t="s">
        <v>12</v>
      </c>
      <c r="D105" s="41" t="str">
        <f t="shared" si="6"/>
        <v>#NAME?</v>
      </c>
      <c r="E105" s="42" t="s">
        <v>40</v>
      </c>
      <c r="F105" s="43" t="s">
        <v>11</v>
      </c>
      <c r="G105" s="43" t="s">
        <v>11</v>
      </c>
      <c r="H105" s="14" t="s">
        <v>137</v>
      </c>
    </row>
    <row r="106" ht="15.75" customHeight="1">
      <c r="A106" s="40">
        <v>389899.0</v>
      </c>
      <c r="B106" s="14" t="s">
        <v>12</v>
      </c>
      <c r="D106" s="41" t="str">
        <f t="shared" si="6"/>
        <v>#NAME?</v>
      </c>
      <c r="E106" s="14" t="s">
        <v>41</v>
      </c>
      <c r="F106" s="43" t="s">
        <v>11</v>
      </c>
      <c r="G106" s="43" t="s">
        <v>11</v>
      </c>
      <c r="H106" s="14" t="s">
        <v>137</v>
      </c>
    </row>
    <row r="107" ht="15.75" customHeight="1">
      <c r="A107" s="40">
        <v>392860.0</v>
      </c>
      <c r="B107" s="14" t="s">
        <v>12</v>
      </c>
      <c r="D107" s="41" t="str">
        <f t="shared" si="6"/>
        <v>#NAME?</v>
      </c>
      <c r="E107" s="42" t="s">
        <v>103</v>
      </c>
      <c r="F107" s="43" t="s">
        <v>15</v>
      </c>
      <c r="G107" s="43" t="s">
        <v>15</v>
      </c>
      <c r="H107" s="14" t="s">
        <v>137</v>
      </c>
    </row>
    <row r="108" ht="15.75" customHeight="1">
      <c r="A108" s="40">
        <v>396625.0</v>
      </c>
      <c r="B108" s="14" t="s">
        <v>12</v>
      </c>
      <c r="D108" s="41" t="str">
        <f t="shared" si="6"/>
        <v>#NAME?</v>
      </c>
      <c r="E108" s="45" t="s">
        <v>108</v>
      </c>
      <c r="F108" s="43" t="s">
        <v>15</v>
      </c>
      <c r="G108" s="43" t="s">
        <v>11</v>
      </c>
      <c r="H108" s="43" t="s">
        <v>15</v>
      </c>
    </row>
    <row r="109" ht="15.75" customHeight="1">
      <c r="A109" s="40">
        <v>398317.0</v>
      </c>
      <c r="B109" s="14" t="s">
        <v>12</v>
      </c>
      <c r="D109" s="41" t="str">
        <f t="shared" si="6"/>
        <v>#NAME?</v>
      </c>
      <c r="E109" s="42" t="s">
        <v>112</v>
      </c>
      <c r="F109" s="43" t="s">
        <v>15</v>
      </c>
      <c r="G109" s="43" t="s">
        <v>15</v>
      </c>
      <c r="H109" s="14" t="s">
        <v>137</v>
      </c>
    </row>
    <row r="110" ht="15.75" customHeight="1">
      <c r="A110" s="40">
        <v>403583.0</v>
      </c>
      <c r="B110" s="14" t="s">
        <v>12</v>
      </c>
      <c r="D110" s="41" t="str">
        <f t="shared" si="6"/>
        <v>#NAME?</v>
      </c>
      <c r="E110" s="45" t="s">
        <v>123</v>
      </c>
      <c r="F110" s="43" t="s">
        <v>15</v>
      </c>
      <c r="G110" s="43" t="s">
        <v>15</v>
      </c>
      <c r="H110" s="14" t="s">
        <v>137</v>
      </c>
    </row>
    <row r="111" ht="15.75" customHeight="1">
      <c r="A111" s="40">
        <v>409682.0</v>
      </c>
      <c r="B111" s="14" t="s">
        <v>12</v>
      </c>
      <c r="D111" s="41" t="str">
        <f t="shared" si="6"/>
        <v>#NAME?</v>
      </c>
      <c r="E111" s="42" t="s">
        <v>46</v>
      </c>
      <c r="F111" s="43" t="s">
        <v>11</v>
      </c>
      <c r="G111" s="43" t="s">
        <v>11</v>
      </c>
      <c r="H111" s="14" t="s">
        <v>137</v>
      </c>
    </row>
    <row r="112" ht="15.75" customHeight="1">
      <c r="A112" s="40">
        <v>410482.0</v>
      </c>
      <c r="B112" s="14" t="s">
        <v>12</v>
      </c>
      <c r="D112" s="41" t="str">
        <f t="shared" si="6"/>
        <v>#NAME?</v>
      </c>
      <c r="E112" s="45" t="s">
        <v>47</v>
      </c>
      <c r="F112" s="43" t="s">
        <v>11</v>
      </c>
      <c r="G112" s="43" t="s">
        <v>11</v>
      </c>
      <c r="H112" s="14" t="s">
        <v>137</v>
      </c>
    </row>
    <row r="113" ht="15.75" customHeight="1">
      <c r="A113" s="40">
        <v>429489.0</v>
      </c>
      <c r="B113" s="14" t="s">
        <v>12</v>
      </c>
      <c r="D113" s="41" t="str">
        <f t="shared" si="6"/>
        <v>#NAME?</v>
      </c>
      <c r="E113" s="42" t="s">
        <v>48</v>
      </c>
      <c r="F113" s="43" t="s">
        <v>49</v>
      </c>
      <c r="G113" s="43" t="s">
        <v>11</v>
      </c>
      <c r="H113" s="14" t="s">
        <v>137</v>
      </c>
    </row>
    <row r="114" ht="15.75" customHeight="1">
      <c r="A114" s="40">
        <v>429954.0</v>
      </c>
      <c r="B114" s="14" t="s">
        <v>12</v>
      </c>
      <c r="D114" s="41" t="str">
        <f t="shared" si="6"/>
        <v>#NAME?</v>
      </c>
      <c r="E114" s="45" t="s">
        <v>50</v>
      </c>
      <c r="F114" s="43" t="s">
        <v>11</v>
      </c>
      <c r="G114" s="43" t="s">
        <v>11</v>
      </c>
      <c r="H114" s="14" t="s">
        <v>137</v>
      </c>
    </row>
    <row r="115" ht="15.75" customHeight="1">
      <c r="A115" s="40">
        <v>433122.0</v>
      </c>
      <c r="B115" s="14" t="s">
        <v>12</v>
      </c>
      <c r="D115" s="41" t="str">
        <f t="shared" si="6"/>
        <v>#NAME?</v>
      </c>
      <c r="E115" s="42" t="s">
        <v>51</v>
      </c>
      <c r="F115" s="43" t="s">
        <v>11</v>
      </c>
      <c r="G115" s="43" t="s">
        <v>11</v>
      </c>
      <c r="H115" s="14" t="s">
        <v>137</v>
      </c>
    </row>
    <row r="116" ht="15.75" customHeight="1">
      <c r="A116" s="40">
        <v>441034.0</v>
      </c>
      <c r="B116" s="14" t="s">
        <v>12</v>
      </c>
      <c r="D116" s="41" t="str">
        <f t="shared" si="6"/>
        <v>#NAME?</v>
      </c>
      <c r="E116" s="45" t="s">
        <v>52</v>
      </c>
      <c r="F116" s="43" t="s">
        <v>11</v>
      </c>
      <c r="G116" s="43" t="s">
        <v>11</v>
      </c>
      <c r="H116" s="14" t="s">
        <v>137</v>
      </c>
    </row>
    <row r="117" ht="15.75" customHeight="1">
      <c r="A117" s="40">
        <v>455542.0</v>
      </c>
      <c r="B117" s="14" t="s">
        <v>12</v>
      </c>
      <c r="D117" s="41" t="str">
        <f t="shared" si="6"/>
        <v>#NAME?</v>
      </c>
      <c r="E117" s="42" t="s">
        <v>53</v>
      </c>
      <c r="F117" s="43" t="s">
        <v>15</v>
      </c>
      <c r="G117" s="43" t="s">
        <v>11</v>
      </c>
      <c r="H117" s="43" t="s">
        <v>11</v>
      </c>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17"/>
  <dataValidations>
    <dataValidation type="list" allowBlank="1" showErrorMessage="1" sqref="F2:G3 F4:H4 F5:G6 F7:H7 F8:G9 F10:H10 F11:G17 F18:H19 F20:G20 F21:H21 F22:G22 F23:H23 F24:G28 F29:H30 F31:G35 F36:H36 F37:G40 F41:H41 F42:G59 F60:H60 F61:G65 F66:H66 F67:G67 F68:H69 F70:G73 F74:H74 F75:G79 F80:H80 F81:G81 F82:H82 F83:G86 F87:H88 F89:G92 F93:H93 F94:G98 F99:H99 F100:G102 F103:H103 F104:G107 F108:H108 F109:G116 F117:H117">
      <formula1>"CA: Discussão apta para análise (discussão que aborda problemas com user stories),CE1: Discussão Incompleta: sem resposta ou tem somente uma resposta cujo o autor é o mesmo da pergunta,CE2: Score igual ou menor que zero,CE3: Discussão que NÃO aborda probl"&amp;"emas com user stories,CE4: Discussão em um contexto fora da indústria (empresa,equipe,projeto para indústria),CE5: Discussão que NÃO aborda um problema real relacionado à utilização de user stories."</formula1>
    </dataValidation>
  </dataValidations>
  <hyperlinks>
    <hyperlink r:id="rId1" ref="D2"/>
    <hyperlink r:id="rId2" ref="E2"/>
    <hyperlink r:id="rId3" ref="D3"/>
    <hyperlink r:id="rId4" ref="E3"/>
    <hyperlink r:id="rId5" ref="D4"/>
    <hyperlink r:id="rId6" ref="E4"/>
    <hyperlink r:id="rId7" ref="D5"/>
    <hyperlink r:id="rId8" ref="E5"/>
    <hyperlink r:id="rId9" ref="D6"/>
    <hyperlink r:id="rId10" ref="E6"/>
    <hyperlink r:id="rId11" ref="D7"/>
    <hyperlink r:id="rId12" ref="E7"/>
    <hyperlink r:id="rId13" ref="D8"/>
    <hyperlink r:id="rId14" ref="E8"/>
    <hyperlink r:id="rId15" ref="D9"/>
    <hyperlink r:id="rId16" ref="E9"/>
    <hyperlink r:id="rId17" ref="D10"/>
    <hyperlink r:id="rId18" ref="E10"/>
    <hyperlink r:id="rId19" ref="D11"/>
    <hyperlink r:id="rId20" ref="E11"/>
    <hyperlink r:id="rId21" ref="D12"/>
    <hyperlink r:id="rId22" ref="E12"/>
    <hyperlink r:id="rId23" ref="D13"/>
    <hyperlink r:id="rId24" ref="E13"/>
    <hyperlink r:id="rId25" ref="D14"/>
    <hyperlink r:id="rId26" ref="D15"/>
    <hyperlink r:id="rId27" ref="E15"/>
    <hyperlink r:id="rId28" ref="D16"/>
    <hyperlink r:id="rId29" ref="E16"/>
    <hyperlink r:id="rId30" ref="D17"/>
    <hyperlink r:id="rId31" ref="E17"/>
    <hyperlink r:id="rId32" ref="D18"/>
    <hyperlink r:id="rId33" ref="E18"/>
    <hyperlink r:id="rId34" ref="D19"/>
    <hyperlink r:id="rId35" ref="E19"/>
    <hyperlink r:id="rId36" ref="D20"/>
    <hyperlink r:id="rId37" ref="E20"/>
  </hyperlinks>
  <printOptions/>
  <pageMargins bottom="0.787401575" footer="0.0" header="0.0" left="0.511811024" right="0.511811024" top="0.787401575"/>
  <pageSetup orientation="landscape"/>
  <drawing r:id="rId3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 customWidth="1" hidden="1" min="10" max="11" width="12.63"/>
    <col customWidth="1" min="12" max="13" width="34.13"/>
    <col customWidth="1" min="15" max="15" width="25.13"/>
  </cols>
  <sheetData>
    <row r="1" ht="15.75" customHeight="1">
      <c r="A1" s="14" t="s">
        <v>0</v>
      </c>
      <c r="B1" s="14" t="s">
        <v>1</v>
      </c>
      <c r="C1" s="14" t="s">
        <v>2</v>
      </c>
      <c r="D1" s="14" t="s">
        <v>3</v>
      </c>
      <c r="E1" s="14" t="s">
        <v>4</v>
      </c>
      <c r="F1" s="14" t="s">
        <v>5</v>
      </c>
      <c r="G1" s="14" t="s">
        <v>6</v>
      </c>
      <c r="H1" s="14" t="s">
        <v>7</v>
      </c>
      <c r="I1" s="14" t="s">
        <v>147</v>
      </c>
      <c r="J1" s="14" t="s">
        <v>148</v>
      </c>
      <c r="K1" s="14" t="s">
        <v>149</v>
      </c>
      <c r="L1" s="47" t="s">
        <v>150</v>
      </c>
      <c r="M1" s="47" t="s">
        <v>151</v>
      </c>
      <c r="N1" s="14" t="s">
        <v>152</v>
      </c>
      <c r="O1" s="47" t="s">
        <v>153</v>
      </c>
      <c r="P1" s="14" t="s">
        <v>154</v>
      </c>
      <c r="Q1" s="47" t="s">
        <v>155</v>
      </c>
      <c r="R1" s="14" t="s">
        <v>156</v>
      </c>
      <c r="S1" s="47" t="s">
        <v>157</v>
      </c>
      <c r="T1" s="14" t="s">
        <v>158</v>
      </c>
      <c r="U1" s="47" t="s">
        <v>159</v>
      </c>
      <c r="V1" s="47" t="s">
        <v>160</v>
      </c>
      <c r="W1" s="14" t="s">
        <v>161</v>
      </c>
      <c r="X1" s="47" t="s">
        <v>162</v>
      </c>
      <c r="Y1" s="14" t="s">
        <v>163</v>
      </c>
    </row>
    <row r="2" ht="15.75" customHeight="1">
      <c r="A2" s="14">
        <v>25637.0</v>
      </c>
      <c r="B2" s="14" t="s">
        <v>8</v>
      </c>
      <c r="D2" s="14" t="s">
        <v>9</v>
      </c>
      <c r="E2" s="14" t="s">
        <v>117</v>
      </c>
      <c r="F2" s="43" t="s">
        <v>15</v>
      </c>
      <c r="G2" s="14">
        <v>2019.0</v>
      </c>
      <c r="H2" s="14">
        <v>2019.0</v>
      </c>
      <c r="I2" s="14" t="s">
        <v>164</v>
      </c>
      <c r="J2" s="14" t="s">
        <v>165</v>
      </c>
      <c r="K2" s="14" t="s">
        <v>166</v>
      </c>
      <c r="L2" s="14" t="s">
        <v>167</v>
      </c>
      <c r="M2" s="14" t="s">
        <v>168</v>
      </c>
      <c r="N2" s="14" t="s">
        <v>169</v>
      </c>
      <c r="O2" s="14" t="s">
        <v>170</v>
      </c>
      <c r="P2" s="14" t="s">
        <v>171</v>
      </c>
      <c r="Q2" s="14" t="s">
        <v>172</v>
      </c>
      <c r="R2" s="14" t="s">
        <v>171</v>
      </c>
      <c r="S2" s="14" t="s">
        <v>170</v>
      </c>
      <c r="T2" s="14" t="s">
        <v>173</v>
      </c>
      <c r="U2" s="14" t="s">
        <v>174</v>
      </c>
      <c r="V2" s="14" t="s">
        <v>175</v>
      </c>
      <c r="W2" s="14" t="s">
        <v>176</v>
      </c>
      <c r="X2" s="14" t="s">
        <v>177</v>
      </c>
      <c r="Y2" s="14" t="s">
        <v>178</v>
      </c>
    </row>
    <row r="3" ht="15.75" customHeight="1">
      <c r="A3" s="14">
        <v>18301.0</v>
      </c>
      <c r="B3" s="14" t="s">
        <v>8</v>
      </c>
      <c r="D3" s="14" t="s">
        <v>9</v>
      </c>
      <c r="E3" s="14" t="s">
        <v>76</v>
      </c>
      <c r="F3" s="43" t="s">
        <v>15</v>
      </c>
      <c r="G3" s="14">
        <v>2016.0</v>
      </c>
      <c r="H3" s="14">
        <v>2016.0</v>
      </c>
      <c r="I3" s="14" t="s">
        <v>179</v>
      </c>
      <c r="J3" s="14" t="s">
        <v>180</v>
      </c>
      <c r="K3" s="14" t="s">
        <v>181</v>
      </c>
      <c r="L3" s="14" t="s">
        <v>167</v>
      </c>
      <c r="M3" s="14" t="s">
        <v>168</v>
      </c>
      <c r="N3" s="14" t="s">
        <v>182</v>
      </c>
      <c r="O3" s="14" t="s">
        <v>183</v>
      </c>
      <c r="P3" s="14" t="s">
        <v>184</v>
      </c>
      <c r="Q3" s="14" t="s">
        <v>170</v>
      </c>
      <c r="R3" s="14" t="s">
        <v>173</v>
      </c>
      <c r="S3" s="14" t="s">
        <v>170</v>
      </c>
      <c r="T3" s="14" t="s">
        <v>173</v>
      </c>
      <c r="U3" s="14" t="s">
        <v>185</v>
      </c>
      <c r="V3" s="14" t="s">
        <v>186</v>
      </c>
      <c r="W3" s="14" t="s">
        <v>187</v>
      </c>
      <c r="Y3" s="14" t="s">
        <v>188</v>
      </c>
    </row>
    <row r="4" ht="15.75" customHeight="1">
      <c r="A4" s="14">
        <v>31614.0</v>
      </c>
      <c r="B4" s="14" t="s">
        <v>8</v>
      </c>
      <c r="D4" s="14" t="s">
        <v>9</v>
      </c>
      <c r="E4" s="14" t="s">
        <v>124</v>
      </c>
      <c r="F4" s="43" t="s">
        <v>15</v>
      </c>
      <c r="G4" s="14">
        <v>2021.0</v>
      </c>
      <c r="H4" s="14">
        <v>2021.0</v>
      </c>
      <c r="I4" s="14" t="s">
        <v>189</v>
      </c>
      <c r="J4" s="14" t="s">
        <v>190</v>
      </c>
      <c r="K4" s="14" t="s">
        <v>191</v>
      </c>
      <c r="L4" s="14" t="s">
        <v>192</v>
      </c>
      <c r="M4" s="14" t="s">
        <v>168</v>
      </c>
      <c r="N4" s="14" t="s">
        <v>193</v>
      </c>
      <c r="O4" s="14" t="s">
        <v>194</v>
      </c>
      <c r="P4" s="14" t="s">
        <v>195</v>
      </c>
      <c r="Q4" s="14" t="s">
        <v>196</v>
      </c>
      <c r="R4" s="14" t="s">
        <v>197</v>
      </c>
      <c r="S4" s="14" t="s">
        <v>170</v>
      </c>
      <c r="T4" s="14" t="s">
        <v>173</v>
      </c>
      <c r="U4" s="14" t="s">
        <v>198</v>
      </c>
      <c r="V4" s="14" t="s">
        <v>186</v>
      </c>
      <c r="W4" s="14" t="s">
        <v>199</v>
      </c>
      <c r="Y4" s="14" t="s">
        <v>200</v>
      </c>
    </row>
    <row r="5" ht="15.75" customHeight="1">
      <c r="A5" s="14">
        <v>11247.0</v>
      </c>
      <c r="B5" s="14" t="s">
        <v>8</v>
      </c>
      <c r="D5" s="14" t="s">
        <v>9</v>
      </c>
      <c r="E5" s="14" t="s">
        <v>57</v>
      </c>
      <c r="F5" s="43" t="s">
        <v>15</v>
      </c>
      <c r="G5" s="14">
        <v>2014.0</v>
      </c>
      <c r="H5" s="14">
        <v>2014.0</v>
      </c>
      <c r="I5" s="14" t="s">
        <v>189</v>
      </c>
      <c r="J5" s="14" t="s">
        <v>201</v>
      </c>
      <c r="K5" s="14" t="s">
        <v>202</v>
      </c>
      <c r="L5" s="14" t="s">
        <v>203</v>
      </c>
      <c r="M5" s="14" t="s">
        <v>168</v>
      </c>
      <c r="N5" s="14" t="s">
        <v>204</v>
      </c>
      <c r="O5" s="14" t="s">
        <v>194</v>
      </c>
      <c r="P5" s="14" t="s">
        <v>205</v>
      </c>
      <c r="Q5" s="14" t="s">
        <v>206</v>
      </c>
      <c r="R5" s="14" t="s">
        <v>207</v>
      </c>
      <c r="S5" s="14" t="s">
        <v>170</v>
      </c>
      <c r="T5" s="14" t="s">
        <v>173</v>
      </c>
      <c r="U5" s="14" t="s">
        <v>208</v>
      </c>
      <c r="V5" s="14" t="s">
        <v>209</v>
      </c>
      <c r="W5" s="14" t="s">
        <v>210</v>
      </c>
      <c r="X5" s="14" t="s">
        <v>211</v>
      </c>
      <c r="Y5" s="14" t="s">
        <v>212</v>
      </c>
    </row>
    <row r="6" ht="15.75" customHeight="1">
      <c r="A6" s="14">
        <v>240325.0</v>
      </c>
      <c r="B6" s="14" t="s">
        <v>12</v>
      </c>
      <c r="D6" s="14" t="s">
        <v>13</v>
      </c>
      <c r="E6" s="14" t="s">
        <v>56</v>
      </c>
      <c r="F6" s="43" t="s">
        <v>15</v>
      </c>
      <c r="G6" s="14">
        <v>2014.0</v>
      </c>
      <c r="H6" s="14">
        <v>2014.0</v>
      </c>
      <c r="I6" s="14" t="s">
        <v>213</v>
      </c>
      <c r="J6" s="14" t="s">
        <v>214</v>
      </c>
      <c r="K6" s="14" t="s">
        <v>215</v>
      </c>
      <c r="L6" s="14" t="s">
        <v>216</v>
      </c>
      <c r="M6" s="14" t="s">
        <v>217</v>
      </c>
      <c r="N6" s="14" t="s">
        <v>218</v>
      </c>
      <c r="O6" s="14" t="s">
        <v>194</v>
      </c>
      <c r="P6" s="14" t="s">
        <v>219</v>
      </c>
      <c r="Q6" s="14" t="s">
        <v>172</v>
      </c>
      <c r="R6" s="14" t="s">
        <v>220</v>
      </c>
      <c r="S6" s="14" t="s">
        <v>170</v>
      </c>
      <c r="T6" s="14" t="s">
        <v>173</v>
      </c>
      <c r="U6" s="14" t="s">
        <v>221</v>
      </c>
      <c r="V6" s="14" t="s">
        <v>222</v>
      </c>
      <c r="W6" s="14" t="s">
        <v>223</v>
      </c>
      <c r="Y6" s="14" t="s">
        <v>224</v>
      </c>
    </row>
    <row r="7" ht="15.75" customHeight="1">
      <c r="A7" s="14">
        <v>396625.0</v>
      </c>
      <c r="B7" s="14" t="s">
        <v>12</v>
      </c>
      <c r="D7" s="14" t="s">
        <v>13</v>
      </c>
      <c r="E7" s="14" t="s">
        <v>108</v>
      </c>
      <c r="F7" s="43" t="s">
        <v>15</v>
      </c>
      <c r="G7" s="14">
        <v>2019.0</v>
      </c>
      <c r="H7" s="14">
        <v>2019.0</v>
      </c>
      <c r="I7" s="14" t="s">
        <v>189</v>
      </c>
      <c r="J7" s="14" t="s">
        <v>225</v>
      </c>
      <c r="K7" s="14" t="s">
        <v>226</v>
      </c>
      <c r="L7" s="14" t="s">
        <v>203</v>
      </c>
      <c r="M7" s="14" t="s">
        <v>168</v>
      </c>
      <c r="N7" s="14" t="s">
        <v>227</v>
      </c>
      <c r="O7" s="14" t="s">
        <v>170</v>
      </c>
      <c r="P7" s="14" t="s">
        <v>228</v>
      </c>
      <c r="Q7" s="14" t="s">
        <v>170</v>
      </c>
      <c r="R7" s="14" t="s">
        <v>229</v>
      </c>
      <c r="S7" s="14" t="s">
        <v>170</v>
      </c>
      <c r="T7" s="14" t="s">
        <v>173</v>
      </c>
      <c r="U7" s="14" t="s">
        <v>208</v>
      </c>
      <c r="V7" s="14" t="s">
        <v>209</v>
      </c>
      <c r="W7" s="14" t="s">
        <v>230</v>
      </c>
      <c r="X7" s="14" t="s">
        <v>231</v>
      </c>
      <c r="Y7" s="14" t="s">
        <v>232</v>
      </c>
    </row>
    <row r="8" ht="15.75" customHeight="1">
      <c r="A8" s="14">
        <v>323107.0</v>
      </c>
      <c r="B8" s="14" t="s">
        <v>12</v>
      </c>
      <c r="D8" s="14" t="s">
        <v>233</v>
      </c>
      <c r="E8" s="14" t="s">
        <v>73</v>
      </c>
      <c r="F8" s="43" t="s">
        <v>15</v>
      </c>
      <c r="G8" s="14">
        <v>2016.0</v>
      </c>
      <c r="H8" s="14">
        <v>2016.0</v>
      </c>
      <c r="I8" s="14" t="s">
        <v>234</v>
      </c>
      <c r="J8" s="14" t="s">
        <v>235</v>
      </c>
      <c r="K8" s="14" t="s">
        <v>236</v>
      </c>
      <c r="L8" s="14" t="s">
        <v>167</v>
      </c>
      <c r="M8" s="14" t="s">
        <v>168</v>
      </c>
      <c r="N8" s="14" t="s">
        <v>237</v>
      </c>
      <c r="O8" s="14" t="s">
        <v>194</v>
      </c>
      <c r="P8" s="14" t="s">
        <v>238</v>
      </c>
      <c r="Q8" s="14" t="s">
        <v>170</v>
      </c>
      <c r="R8" s="14" t="s">
        <v>173</v>
      </c>
      <c r="S8" s="14" t="s">
        <v>170</v>
      </c>
      <c r="T8" s="14" t="s">
        <v>173</v>
      </c>
      <c r="U8" s="14" t="s">
        <v>221</v>
      </c>
      <c r="V8" s="14" t="s">
        <v>222</v>
      </c>
      <c r="W8" s="14" t="s">
        <v>239</v>
      </c>
      <c r="Y8" s="14" t="s">
        <v>240</v>
      </c>
    </row>
    <row r="9" ht="15.75" customHeight="1">
      <c r="A9" s="14">
        <v>228110.0</v>
      </c>
      <c r="B9" s="14" t="s">
        <v>12</v>
      </c>
      <c r="D9" s="14" t="s">
        <v>13</v>
      </c>
      <c r="E9" s="14" t="s">
        <v>66</v>
      </c>
      <c r="F9" s="43" t="s">
        <v>15</v>
      </c>
      <c r="G9" s="14">
        <v>2014.0</v>
      </c>
      <c r="H9" s="14">
        <v>2015.0</v>
      </c>
      <c r="I9" s="14" t="s">
        <v>189</v>
      </c>
      <c r="J9" s="14" t="s">
        <v>241</v>
      </c>
      <c r="K9" s="14" t="s">
        <v>242</v>
      </c>
      <c r="L9" s="14" t="s">
        <v>243</v>
      </c>
      <c r="M9" s="14" t="s">
        <v>217</v>
      </c>
      <c r="N9" s="14" t="s">
        <v>244</v>
      </c>
      <c r="O9" s="14" t="s">
        <v>170</v>
      </c>
      <c r="P9" s="14" t="s">
        <v>245</v>
      </c>
      <c r="Q9" s="14" t="s">
        <v>170</v>
      </c>
      <c r="R9" s="14" t="s">
        <v>173</v>
      </c>
      <c r="S9" s="14" t="s">
        <v>170</v>
      </c>
      <c r="T9" s="14" t="s">
        <v>173</v>
      </c>
      <c r="U9" s="14" t="s">
        <v>246</v>
      </c>
      <c r="V9" s="14" t="s">
        <v>247</v>
      </c>
      <c r="W9" s="14" t="s">
        <v>248</v>
      </c>
      <c r="Y9" s="14" t="s">
        <v>249</v>
      </c>
    </row>
    <row r="10" ht="15.75" customHeight="1">
      <c r="A10" s="14">
        <v>231273.0</v>
      </c>
      <c r="B10" s="14" t="s">
        <v>12</v>
      </c>
      <c r="D10" s="14" t="s">
        <v>13</v>
      </c>
      <c r="E10" s="14" t="s">
        <v>54</v>
      </c>
      <c r="F10" s="43" t="s">
        <v>15</v>
      </c>
      <c r="G10" s="14">
        <v>2014.0</v>
      </c>
      <c r="H10" s="14">
        <v>2014.0</v>
      </c>
      <c r="I10" s="14" t="s">
        <v>189</v>
      </c>
      <c r="J10" s="14" t="s">
        <v>250</v>
      </c>
      <c r="K10" s="14" t="s">
        <v>251</v>
      </c>
      <c r="L10" s="14" t="s">
        <v>216</v>
      </c>
      <c r="M10" s="14" t="s">
        <v>217</v>
      </c>
      <c r="N10" s="14" t="s">
        <v>252</v>
      </c>
      <c r="O10" s="14" t="s">
        <v>170</v>
      </c>
      <c r="P10" s="14" t="s">
        <v>253</v>
      </c>
      <c r="Q10" s="14" t="s">
        <v>254</v>
      </c>
      <c r="R10" s="14" t="s">
        <v>255</v>
      </c>
      <c r="S10" s="14" t="s">
        <v>256</v>
      </c>
      <c r="T10" s="14" t="s">
        <v>257</v>
      </c>
      <c r="U10" s="14" t="s">
        <v>258</v>
      </c>
      <c r="V10" s="14" t="s">
        <v>259</v>
      </c>
      <c r="W10" s="14" t="s">
        <v>260</v>
      </c>
      <c r="Y10" s="14" t="s">
        <v>261</v>
      </c>
    </row>
    <row r="11" ht="15.75" customHeight="1">
      <c r="A11" s="14">
        <v>3017.0</v>
      </c>
      <c r="B11" s="14" t="s">
        <v>8</v>
      </c>
      <c r="D11" s="14" t="s">
        <v>9</v>
      </c>
      <c r="E11" s="14" t="s">
        <v>27</v>
      </c>
      <c r="F11" s="43" t="s">
        <v>15</v>
      </c>
      <c r="G11" s="14">
        <v>2011.0</v>
      </c>
      <c r="H11" s="14">
        <v>2011.0</v>
      </c>
      <c r="I11" s="14" t="s">
        <v>262</v>
      </c>
      <c r="J11" s="14" t="s">
        <v>263</v>
      </c>
      <c r="K11" s="14" t="s">
        <v>264</v>
      </c>
      <c r="L11" s="14" t="s">
        <v>265</v>
      </c>
      <c r="M11" s="14" t="s">
        <v>217</v>
      </c>
      <c r="N11" s="14" t="s">
        <v>266</v>
      </c>
      <c r="O11" s="14" t="s">
        <v>194</v>
      </c>
      <c r="P11" s="14" t="s">
        <v>267</v>
      </c>
      <c r="Q11" s="14" t="s">
        <v>170</v>
      </c>
      <c r="R11" s="14" t="s">
        <v>268</v>
      </c>
      <c r="S11" s="14" t="s">
        <v>170</v>
      </c>
      <c r="T11" s="14" t="s">
        <v>173</v>
      </c>
      <c r="U11" s="14" t="s">
        <v>246</v>
      </c>
      <c r="V11" s="14" t="s">
        <v>247</v>
      </c>
      <c r="W11" s="14" t="s">
        <v>269</v>
      </c>
      <c r="Y11" s="14" t="s">
        <v>270</v>
      </c>
    </row>
    <row r="12" ht="15.75" customHeight="1">
      <c r="A12" s="14">
        <v>194180.0</v>
      </c>
      <c r="B12" s="14" t="s">
        <v>12</v>
      </c>
      <c r="D12" s="14" t="s">
        <v>13</v>
      </c>
      <c r="E12" s="14" t="s">
        <v>130</v>
      </c>
      <c r="F12" s="43" t="s">
        <v>15</v>
      </c>
      <c r="G12" s="14">
        <v>2013.0</v>
      </c>
      <c r="H12" s="14">
        <v>2021.0</v>
      </c>
      <c r="I12" s="14" t="s">
        <v>271</v>
      </c>
      <c r="J12" s="14" t="s">
        <v>272</v>
      </c>
      <c r="K12" s="14" t="s">
        <v>273</v>
      </c>
      <c r="L12" s="14" t="s">
        <v>274</v>
      </c>
      <c r="M12" s="14" t="s">
        <v>217</v>
      </c>
      <c r="N12" s="14" t="s">
        <v>275</v>
      </c>
      <c r="O12" s="14" t="s">
        <v>276</v>
      </c>
      <c r="P12" s="14" t="s">
        <v>277</v>
      </c>
      <c r="Q12" s="14" t="s">
        <v>170</v>
      </c>
      <c r="R12" s="14" t="s">
        <v>278</v>
      </c>
      <c r="S12" s="14" t="s">
        <v>170</v>
      </c>
      <c r="T12" s="14" t="s">
        <v>279</v>
      </c>
      <c r="U12" s="14" t="s">
        <v>208</v>
      </c>
      <c r="V12" s="14" t="s">
        <v>209</v>
      </c>
      <c r="W12" s="14" t="s">
        <v>280</v>
      </c>
      <c r="Y12" s="14" t="s">
        <v>281</v>
      </c>
    </row>
    <row r="13" ht="15.75" customHeight="1">
      <c r="A13" s="14">
        <v>127213.0</v>
      </c>
      <c r="B13" s="14" t="s">
        <v>12</v>
      </c>
      <c r="D13" s="14" t="s">
        <v>13</v>
      </c>
      <c r="E13" s="14" t="s">
        <v>17</v>
      </c>
      <c r="F13" s="43" t="s">
        <v>15</v>
      </c>
      <c r="G13" s="14">
        <v>2011.0</v>
      </c>
      <c r="H13" s="14">
        <v>2011.0</v>
      </c>
      <c r="I13" s="14" t="s">
        <v>282</v>
      </c>
      <c r="J13" s="14" t="s">
        <v>283</v>
      </c>
      <c r="K13" s="14" t="s">
        <v>284</v>
      </c>
      <c r="L13" s="14" t="s">
        <v>274</v>
      </c>
      <c r="M13" s="14" t="s">
        <v>217</v>
      </c>
      <c r="N13" s="14" t="s">
        <v>285</v>
      </c>
      <c r="O13" s="14" t="s">
        <v>170</v>
      </c>
      <c r="P13" s="14" t="s">
        <v>286</v>
      </c>
      <c r="Q13" s="14" t="s">
        <v>170</v>
      </c>
      <c r="R13" s="14" t="s">
        <v>286</v>
      </c>
      <c r="S13" s="14" t="s">
        <v>287</v>
      </c>
      <c r="T13" s="14" t="s">
        <v>288</v>
      </c>
      <c r="U13" s="14" t="s">
        <v>289</v>
      </c>
      <c r="V13" s="14" t="s">
        <v>247</v>
      </c>
      <c r="W13" s="14" t="s">
        <v>290</v>
      </c>
      <c r="Y13" s="14" t="s">
        <v>291</v>
      </c>
    </row>
    <row r="14" ht="15.75" customHeight="1">
      <c r="A14" s="14">
        <v>25744.0</v>
      </c>
      <c r="B14" s="14" t="s">
        <v>8</v>
      </c>
      <c r="D14" s="14" t="s">
        <v>9</v>
      </c>
      <c r="E14" s="14" t="s">
        <v>121</v>
      </c>
      <c r="F14" s="43" t="s">
        <v>15</v>
      </c>
      <c r="G14" s="14">
        <v>2019.0</v>
      </c>
      <c r="H14" s="14">
        <v>2019.0</v>
      </c>
      <c r="I14" s="14" t="s">
        <v>292</v>
      </c>
      <c r="J14" s="14" t="s">
        <v>293</v>
      </c>
      <c r="K14" s="14" t="s">
        <v>294</v>
      </c>
      <c r="L14" s="14" t="s">
        <v>274</v>
      </c>
      <c r="M14" s="14" t="s">
        <v>217</v>
      </c>
      <c r="N14" s="14" t="s">
        <v>295</v>
      </c>
      <c r="O14" s="14" t="s">
        <v>296</v>
      </c>
      <c r="P14" s="14" t="s">
        <v>297</v>
      </c>
      <c r="Q14" s="14" t="s">
        <v>170</v>
      </c>
      <c r="R14" s="14" t="s">
        <v>173</v>
      </c>
      <c r="S14" s="14" t="s">
        <v>170</v>
      </c>
      <c r="T14" s="14" t="s">
        <v>298</v>
      </c>
      <c r="U14" s="14" t="s">
        <v>299</v>
      </c>
      <c r="V14" s="14" t="s">
        <v>259</v>
      </c>
      <c r="W14" s="14" t="s">
        <v>300</v>
      </c>
      <c r="Y14" s="14" t="s">
        <v>301</v>
      </c>
    </row>
    <row r="15" ht="15.75" customHeight="1">
      <c r="A15" s="14">
        <v>25196.0</v>
      </c>
      <c r="B15" s="14" t="s">
        <v>8</v>
      </c>
      <c r="D15" s="14" t="s">
        <v>9</v>
      </c>
      <c r="E15" s="14" t="s">
        <v>94</v>
      </c>
      <c r="F15" s="43" t="s">
        <v>15</v>
      </c>
      <c r="G15" s="14">
        <v>2018.0</v>
      </c>
      <c r="H15" s="14">
        <v>2018.0</v>
      </c>
      <c r="I15" s="14" t="s">
        <v>302</v>
      </c>
      <c r="J15" s="14" t="s">
        <v>303</v>
      </c>
      <c r="K15" s="14" t="s">
        <v>304</v>
      </c>
      <c r="L15" s="14" t="s">
        <v>167</v>
      </c>
      <c r="M15" s="14" t="s">
        <v>168</v>
      </c>
      <c r="N15" s="14" t="s">
        <v>305</v>
      </c>
      <c r="O15" s="14" t="s">
        <v>183</v>
      </c>
      <c r="P15" s="14" t="s">
        <v>306</v>
      </c>
      <c r="Q15" s="14" t="s">
        <v>170</v>
      </c>
      <c r="R15" s="14" t="s">
        <v>173</v>
      </c>
      <c r="S15" s="14" t="s">
        <v>170</v>
      </c>
      <c r="T15" s="14" t="s">
        <v>173</v>
      </c>
      <c r="U15" s="14" t="s">
        <v>221</v>
      </c>
      <c r="V15" s="14" t="s">
        <v>222</v>
      </c>
      <c r="W15" s="14" t="s">
        <v>307</v>
      </c>
      <c r="Y15" s="14" t="s">
        <v>308</v>
      </c>
    </row>
    <row r="16" ht="15.75" customHeight="1">
      <c r="A16" s="14">
        <v>354302.0</v>
      </c>
      <c r="B16" s="14" t="s">
        <v>12</v>
      </c>
      <c r="D16" s="14" t="s">
        <v>13</v>
      </c>
      <c r="E16" s="14" t="s">
        <v>78</v>
      </c>
      <c r="F16" s="43" t="s">
        <v>15</v>
      </c>
      <c r="G16" s="14">
        <v>2017.0</v>
      </c>
      <c r="H16" s="14">
        <v>2017.0</v>
      </c>
      <c r="I16" s="14" t="s">
        <v>309</v>
      </c>
      <c r="J16" s="14" t="s">
        <v>310</v>
      </c>
      <c r="K16" s="14" t="s">
        <v>311</v>
      </c>
      <c r="L16" s="14" t="s">
        <v>167</v>
      </c>
      <c r="M16" s="14" t="s">
        <v>168</v>
      </c>
      <c r="N16" s="14" t="s">
        <v>312</v>
      </c>
      <c r="O16" s="14" t="s">
        <v>170</v>
      </c>
      <c r="P16" s="14" t="s">
        <v>313</v>
      </c>
      <c r="Q16" s="14" t="s">
        <v>170</v>
      </c>
      <c r="R16" s="14" t="s">
        <v>173</v>
      </c>
      <c r="S16" s="14" t="s">
        <v>170</v>
      </c>
      <c r="T16" s="14" t="s">
        <v>173</v>
      </c>
      <c r="U16" s="14" t="s">
        <v>299</v>
      </c>
      <c r="V16" s="14" t="s">
        <v>259</v>
      </c>
      <c r="W16" s="14" t="s">
        <v>314</v>
      </c>
      <c r="Y16" s="14" t="s">
        <v>315</v>
      </c>
    </row>
    <row r="17" ht="15.75" customHeight="1">
      <c r="A17" s="14">
        <v>340712.0</v>
      </c>
      <c r="B17" s="14" t="s">
        <v>12</v>
      </c>
      <c r="D17" s="14" t="s">
        <v>13</v>
      </c>
      <c r="E17" s="14" t="s">
        <v>79</v>
      </c>
      <c r="F17" s="43" t="s">
        <v>15</v>
      </c>
      <c r="G17" s="14">
        <v>2017.0</v>
      </c>
      <c r="H17" s="14">
        <v>2017.0</v>
      </c>
      <c r="I17" s="14" t="s">
        <v>316</v>
      </c>
      <c r="J17" s="14" t="s">
        <v>317</v>
      </c>
      <c r="K17" s="14" t="s">
        <v>318</v>
      </c>
      <c r="L17" s="14" t="s">
        <v>167</v>
      </c>
      <c r="M17" s="14" t="s">
        <v>168</v>
      </c>
      <c r="N17" s="14" t="s">
        <v>319</v>
      </c>
      <c r="O17" s="14" t="s">
        <v>320</v>
      </c>
      <c r="P17" s="14" t="s">
        <v>321</v>
      </c>
      <c r="Q17" s="14" t="s">
        <v>170</v>
      </c>
      <c r="R17" s="14" t="s">
        <v>173</v>
      </c>
      <c r="S17" s="14" t="s">
        <v>170</v>
      </c>
      <c r="T17" s="14" t="s">
        <v>173</v>
      </c>
      <c r="U17" s="14" t="s">
        <v>322</v>
      </c>
      <c r="V17" s="14" t="s">
        <v>175</v>
      </c>
      <c r="W17" s="14" t="s">
        <v>323</v>
      </c>
      <c r="X17" s="14" t="s">
        <v>324</v>
      </c>
      <c r="Y17" s="14" t="s">
        <v>325</v>
      </c>
    </row>
    <row r="18" ht="15.75" customHeight="1">
      <c r="A18" s="14">
        <v>8679.0</v>
      </c>
      <c r="B18" s="14" t="s">
        <v>8</v>
      </c>
      <c r="D18" s="14" t="s">
        <v>9</v>
      </c>
      <c r="E18" s="14" t="s">
        <v>44</v>
      </c>
      <c r="F18" s="43" t="s">
        <v>15</v>
      </c>
      <c r="G18" s="14">
        <v>2013.0</v>
      </c>
      <c r="H18" s="14">
        <v>2013.0</v>
      </c>
      <c r="I18" s="14" t="s">
        <v>189</v>
      </c>
      <c r="J18" s="14" t="s">
        <v>326</v>
      </c>
      <c r="K18" s="14" t="s">
        <v>327</v>
      </c>
      <c r="L18" s="14" t="s">
        <v>328</v>
      </c>
      <c r="M18" s="14" t="s">
        <v>217</v>
      </c>
      <c r="N18" s="14" t="s">
        <v>329</v>
      </c>
      <c r="O18" s="14" t="s">
        <v>194</v>
      </c>
      <c r="P18" s="14" t="s">
        <v>330</v>
      </c>
      <c r="Q18" s="14" t="s">
        <v>196</v>
      </c>
      <c r="R18" s="14" t="s">
        <v>331</v>
      </c>
      <c r="S18" s="14" t="s">
        <v>332</v>
      </c>
      <c r="T18" s="14" t="s">
        <v>333</v>
      </c>
      <c r="U18" s="14" t="s">
        <v>198</v>
      </c>
      <c r="V18" s="14" t="s">
        <v>186</v>
      </c>
      <c r="W18" s="14" t="s">
        <v>334</v>
      </c>
      <c r="Y18" s="14" t="s">
        <v>335</v>
      </c>
    </row>
    <row r="19" ht="15.75" customHeight="1">
      <c r="A19" s="14">
        <v>9878.0</v>
      </c>
      <c r="B19" s="14" t="s">
        <v>8</v>
      </c>
      <c r="D19" s="14" t="s">
        <v>9</v>
      </c>
      <c r="E19" s="14" t="s">
        <v>45</v>
      </c>
      <c r="F19" s="43" t="s">
        <v>15</v>
      </c>
      <c r="G19" s="14">
        <v>2013.0</v>
      </c>
      <c r="H19" s="14">
        <v>2013.0</v>
      </c>
      <c r="I19" s="14" t="s">
        <v>189</v>
      </c>
      <c r="J19" s="14" t="s">
        <v>336</v>
      </c>
      <c r="K19" s="14" t="s">
        <v>337</v>
      </c>
      <c r="L19" s="14" t="s">
        <v>167</v>
      </c>
      <c r="M19" s="14" t="s">
        <v>168</v>
      </c>
      <c r="N19" s="14" t="s">
        <v>338</v>
      </c>
      <c r="O19" s="14" t="s">
        <v>194</v>
      </c>
      <c r="P19" s="14" t="s">
        <v>339</v>
      </c>
      <c r="Q19" s="14" t="s">
        <v>196</v>
      </c>
      <c r="R19" s="14" t="s">
        <v>340</v>
      </c>
      <c r="S19" s="14" t="s">
        <v>256</v>
      </c>
      <c r="T19" s="14" t="s">
        <v>341</v>
      </c>
      <c r="U19" s="14" t="s">
        <v>221</v>
      </c>
      <c r="V19" s="14" t="s">
        <v>222</v>
      </c>
      <c r="W19" s="14" t="s">
        <v>342</v>
      </c>
      <c r="Y19" s="14" t="s">
        <v>343</v>
      </c>
    </row>
    <row r="20" ht="15.75" customHeight="1">
      <c r="A20" s="14">
        <v>398317.0</v>
      </c>
      <c r="B20" s="14" t="s">
        <v>12</v>
      </c>
      <c r="D20" s="14" t="s">
        <v>13</v>
      </c>
      <c r="E20" s="14" t="s">
        <v>112</v>
      </c>
      <c r="F20" s="43" t="s">
        <v>15</v>
      </c>
      <c r="G20" s="14">
        <v>2019.0</v>
      </c>
      <c r="H20" s="14">
        <v>2019.0</v>
      </c>
      <c r="I20" s="14" t="s">
        <v>189</v>
      </c>
      <c r="J20" s="14" t="s">
        <v>344</v>
      </c>
      <c r="K20" s="14" t="s">
        <v>345</v>
      </c>
      <c r="L20" s="14" t="s">
        <v>265</v>
      </c>
      <c r="M20" s="14" t="s">
        <v>217</v>
      </c>
      <c r="N20" s="14" t="s">
        <v>346</v>
      </c>
      <c r="O20" s="14" t="s">
        <v>170</v>
      </c>
      <c r="P20" s="14" t="s">
        <v>347</v>
      </c>
      <c r="Q20" s="14" t="s">
        <v>170</v>
      </c>
      <c r="R20" s="14" t="s">
        <v>173</v>
      </c>
      <c r="S20" s="14" t="s">
        <v>170</v>
      </c>
      <c r="T20" s="14" t="s">
        <v>173</v>
      </c>
      <c r="U20" s="14" t="s">
        <v>246</v>
      </c>
      <c r="V20" s="14" t="s">
        <v>247</v>
      </c>
      <c r="W20" s="14" t="s">
        <v>348</v>
      </c>
      <c r="Y20" s="14" t="s">
        <v>349</v>
      </c>
    </row>
    <row r="21" ht="15.75" customHeight="1">
      <c r="A21" s="14">
        <v>41750.0</v>
      </c>
      <c r="B21" s="14" t="s">
        <v>12</v>
      </c>
      <c r="D21" s="14" t="s">
        <v>13</v>
      </c>
      <c r="E21" s="14" t="s">
        <v>21</v>
      </c>
      <c r="F21" s="43" t="s">
        <v>15</v>
      </c>
      <c r="G21" s="14">
        <v>2011.0</v>
      </c>
      <c r="H21" s="14">
        <v>2011.0</v>
      </c>
      <c r="I21" s="14" t="s">
        <v>350</v>
      </c>
      <c r="J21" s="14" t="s">
        <v>351</v>
      </c>
      <c r="K21" s="14" t="s">
        <v>352</v>
      </c>
      <c r="L21" s="14" t="s">
        <v>265</v>
      </c>
      <c r="M21" s="14" t="s">
        <v>217</v>
      </c>
      <c r="N21" s="14" t="s">
        <v>353</v>
      </c>
      <c r="O21" s="14" t="s">
        <v>170</v>
      </c>
      <c r="P21" s="14" t="s">
        <v>354</v>
      </c>
      <c r="Q21" s="14" t="s">
        <v>170</v>
      </c>
      <c r="R21" s="14" t="s">
        <v>355</v>
      </c>
      <c r="S21" s="14" t="s">
        <v>170</v>
      </c>
      <c r="T21" s="14" t="s">
        <v>356</v>
      </c>
      <c r="U21" s="14" t="s">
        <v>208</v>
      </c>
      <c r="V21" s="14" t="s">
        <v>209</v>
      </c>
      <c r="W21" s="14" t="s">
        <v>357</v>
      </c>
      <c r="Y21" s="14" t="s">
        <v>358</v>
      </c>
    </row>
    <row r="22" ht="15.75" customHeight="1">
      <c r="A22" s="14">
        <v>147937.0</v>
      </c>
      <c r="B22" s="14" t="s">
        <v>12</v>
      </c>
      <c r="D22" s="14" t="s">
        <v>13</v>
      </c>
      <c r="E22" s="14" t="s">
        <v>28</v>
      </c>
      <c r="F22" s="43" t="s">
        <v>15</v>
      </c>
      <c r="G22" s="14">
        <v>2012.0</v>
      </c>
      <c r="H22" s="14">
        <v>2012.0</v>
      </c>
      <c r="I22" s="14" t="s">
        <v>189</v>
      </c>
      <c r="J22" s="14" t="s">
        <v>359</v>
      </c>
      <c r="K22" s="14" t="s">
        <v>360</v>
      </c>
      <c r="L22" s="14" t="s">
        <v>274</v>
      </c>
      <c r="M22" s="14" t="s">
        <v>217</v>
      </c>
      <c r="N22" s="14" t="s">
        <v>361</v>
      </c>
      <c r="O22" s="14" t="s">
        <v>170</v>
      </c>
      <c r="P22" s="14" t="s">
        <v>362</v>
      </c>
      <c r="Q22" s="14" t="s">
        <v>170</v>
      </c>
      <c r="R22" s="14" t="s">
        <v>363</v>
      </c>
      <c r="S22" s="14" t="s">
        <v>256</v>
      </c>
      <c r="T22" s="14" t="s">
        <v>364</v>
      </c>
      <c r="U22" s="14" t="s">
        <v>208</v>
      </c>
      <c r="V22" s="14" t="s">
        <v>209</v>
      </c>
      <c r="W22" s="14" t="s">
        <v>365</v>
      </c>
      <c r="Y22" s="14" t="s">
        <v>366</v>
      </c>
    </row>
    <row r="23" ht="15.75" customHeight="1">
      <c r="A23" s="14">
        <v>31666.0</v>
      </c>
      <c r="B23" s="14" t="s">
        <v>8</v>
      </c>
      <c r="D23" s="14" t="s">
        <v>9</v>
      </c>
      <c r="E23" s="14" t="s">
        <v>127</v>
      </c>
      <c r="F23" s="43" t="s">
        <v>15</v>
      </c>
      <c r="G23" s="14">
        <v>2021.0</v>
      </c>
      <c r="H23" s="14">
        <v>2021.0</v>
      </c>
      <c r="I23" s="14" t="s">
        <v>189</v>
      </c>
      <c r="J23" s="14" t="s">
        <v>367</v>
      </c>
      <c r="K23" s="14" t="s">
        <v>368</v>
      </c>
      <c r="L23" s="14" t="s">
        <v>167</v>
      </c>
      <c r="M23" s="14" t="s">
        <v>168</v>
      </c>
      <c r="N23" s="14" t="s">
        <v>369</v>
      </c>
      <c r="O23" s="14" t="s">
        <v>194</v>
      </c>
      <c r="P23" s="14" t="s">
        <v>370</v>
      </c>
      <c r="Q23" s="14" t="s">
        <v>172</v>
      </c>
      <c r="R23" s="14" t="s">
        <v>371</v>
      </c>
      <c r="S23" s="14" t="s">
        <v>170</v>
      </c>
      <c r="T23" s="14" t="s">
        <v>173</v>
      </c>
      <c r="U23" s="14" t="s">
        <v>372</v>
      </c>
      <c r="V23" s="14" t="s">
        <v>186</v>
      </c>
      <c r="W23" s="14" t="s">
        <v>373</v>
      </c>
      <c r="Y23" s="14" t="s">
        <v>374</v>
      </c>
    </row>
    <row r="24" ht="15.75" customHeight="1">
      <c r="A24" s="14">
        <v>14189.0</v>
      </c>
      <c r="B24" s="14" t="s">
        <v>8</v>
      </c>
      <c r="D24" s="14" t="s">
        <v>9</v>
      </c>
      <c r="E24" s="14" t="s">
        <v>65</v>
      </c>
      <c r="F24" s="43" t="s">
        <v>15</v>
      </c>
      <c r="G24" s="14">
        <v>2015.0</v>
      </c>
      <c r="H24" s="14">
        <v>2015.0</v>
      </c>
      <c r="I24" s="14" t="s">
        <v>375</v>
      </c>
      <c r="J24" s="14" t="s">
        <v>351</v>
      </c>
      <c r="K24" s="14" t="s">
        <v>376</v>
      </c>
      <c r="L24" s="14" t="s">
        <v>265</v>
      </c>
      <c r="M24" s="14" t="s">
        <v>217</v>
      </c>
      <c r="N24" s="14" t="s">
        <v>377</v>
      </c>
      <c r="O24" s="14" t="s">
        <v>194</v>
      </c>
      <c r="P24" s="14" t="s">
        <v>378</v>
      </c>
      <c r="Q24" s="14" t="s">
        <v>170</v>
      </c>
      <c r="R24" s="14" t="s">
        <v>173</v>
      </c>
      <c r="S24" s="14" t="s">
        <v>170</v>
      </c>
      <c r="T24" s="14" t="s">
        <v>173</v>
      </c>
      <c r="U24" s="14" t="s">
        <v>246</v>
      </c>
      <c r="V24" s="14" t="s">
        <v>247</v>
      </c>
      <c r="W24" s="14" t="s">
        <v>379</v>
      </c>
      <c r="Y24" s="14" t="s">
        <v>380</v>
      </c>
    </row>
    <row r="25" ht="15.75" customHeight="1">
      <c r="A25" s="14">
        <v>403583.0</v>
      </c>
      <c r="B25" s="14" t="s">
        <v>12</v>
      </c>
      <c r="D25" s="14" t="s">
        <v>13</v>
      </c>
      <c r="E25" s="14" t="s">
        <v>123</v>
      </c>
      <c r="F25" s="43" t="s">
        <v>15</v>
      </c>
      <c r="G25" s="14">
        <v>2020.0</v>
      </c>
      <c r="H25" s="14">
        <v>2020.0</v>
      </c>
      <c r="I25" s="14" t="s">
        <v>381</v>
      </c>
      <c r="J25" s="14" t="s">
        <v>382</v>
      </c>
      <c r="K25" s="14" t="s">
        <v>383</v>
      </c>
      <c r="L25" s="14" t="s">
        <v>203</v>
      </c>
      <c r="M25" s="14" t="s">
        <v>168</v>
      </c>
      <c r="N25" s="14" t="s">
        <v>384</v>
      </c>
      <c r="O25" s="14" t="s">
        <v>194</v>
      </c>
      <c r="P25" s="14" t="s">
        <v>385</v>
      </c>
      <c r="Q25" s="14" t="s">
        <v>206</v>
      </c>
      <c r="R25" s="14" t="s">
        <v>386</v>
      </c>
      <c r="S25" s="14" t="s">
        <v>170</v>
      </c>
      <c r="T25" s="14" t="s">
        <v>387</v>
      </c>
      <c r="U25" s="14" t="s">
        <v>208</v>
      </c>
      <c r="V25" s="14" t="s">
        <v>209</v>
      </c>
      <c r="W25" s="14" t="s">
        <v>388</v>
      </c>
      <c r="X25" s="14" t="s">
        <v>389</v>
      </c>
      <c r="Y25" s="14" t="s">
        <v>390</v>
      </c>
    </row>
    <row r="26" ht="15.75" customHeight="1">
      <c r="A26" s="14">
        <v>22001.0</v>
      </c>
      <c r="B26" s="14" t="s">
        <v>8</v>
      </c>
      <c r="D26" s="14" t="s">
        <v>9</v>
      </c>
      <c r="E26" s="14" t="s">
        <v>81</v>
      </c>
      <c r="F26" s="43" t="s">
        <v>15</v>
      </c>
      <c r="G26" s="14">
        <v>2017.0</v>
      </c>
      <c r="H26" s="14">
        <v>2017.0</v>
      </c>
      <c r="I26" s="14" t="s">
        <v>189</v>
      </c>
      <c r="J26" s="14" t="s">
        <v>391</v>
      </c>
      <c r="K26" s="14" t="s">
        <v>392</v>
      </c>
      <c r="L26" s="14" t="s">
        <v>243</v>
      </c>
      <c r="M26" s="14" t="s">
        <v>217</v>
      </c>
      <c r="N26" s="14" t="s">
        <v>393</v>
      </c>
      <c r="O26" s="14" t="s">
        <v>170</v>
      </c>
      <c r="P26" s="14" t="s">
        <v>173</v>
      </c>
      <c r="Q26" s="14" t="s">
        <v>170</v>
      </c>
      <c r="R26" s="14" t="s">
        <v>173</v>
      </c>
      <c r="S26" s="14" t="s">
        <v>170</v>
      </c>
      <c r="T26" s="14" t="s">
        <v>173</v>
      </c>
      <c r="U26" s="14" t="s">
        <v>322</v>
      </c>
      <c r="V26" s="14" t="s">
        <v>175</v>
      </c>
      <c r="W26" s="14" t="s">
        <v>394</v>
      </c>
      <c r="X26" s="14" t="s">
        <v>395</v>
      </c>
      <c r="Y26" s="14" t="s">
        <v>396</v>
      </c>
    </row>
    <row r="27" ht="15.75" customHeight="1">
      <c r="A27" s="14">
        <v>26673.0</v>
      </c>
      <c r="B27" s="14" t="s">
        <v>8</v>
      </c>
      <c r="D27" s="14" t="s">
        <v>9</v>
      </c>
      <c r="E27" s="14" t="s">
        <v>101</v>
      </c>
      <c r="F27" s="43" t="s">
        <v>15</v>
      </c>
      <c r="G27" s="14">
        <v>2019.0</v>
      </c>
      <c r="H27" s="14">
        <v>2019.0</v>
      </c>
      <c r="I27" s="14" t="s">
        <v>189</v>
      </c>
      <c r="J27" s="14" t="s">
        <v>397</v>
      </c>
      <c r="K27" s="14" t="s">
        <v>398</v>
      </c>
      <c r="L27" s="14" t="s">
        <v>243</v>
      </c>
      <c r="M27" s="14" t="s">
        <v>217</v>
      </c>
      <c r="N27" s="14" t="s">
        <v>399</v>
      </c>
      <c r="O27" s="14" t="s">
        <v>194</v>
      </c>
      <c r="P27" s="14" t="s">
        <v>400</v>
      </c>
      <c r="Q27" s="14" t="s">
        <v>170</v>
      </c>
      <c r="R27" s="14" t="s">
        <v>173</v>
      </c>
      <c r="S27" s="14" t="s">
        <v>256</v>
      </c>
      <c r="T27" s="14" t="s">
        <v>401</v>
      </c>
      <c r="U27" s="14" t="s">
        <v>246</v>
      </c>
      <c r="V27" s="14" t="s">
        <v>247</v>
      </c>
      <c r="W27" s="14" t="s">
        <v>402</v>
      </c>
      <c r="Y27" s="14" t="s">
        <v>403</v>
      </c>
    </row>
    <row r="28" ht="15.75" customHeight="1">
      <c r="A28" s="14">
        <v>25714.0</v>
      </c>
      <c r="B28" s="14" t="s">
        <v>8</v>
      </c>
      <c r="D28" s="14" t="s">
        <v>9</v>
      </c>
      <c r="E28" s="14" t="s">
        <v>118</v>
      </c>
      <c r="F28" s="43" t="s">
        <v>15</v>
      </c>
      <c r="G28" s="14">
        <v>2019.0</v>
      </c>
      <c r="H28" s="14">
        <v>2019.0</v>
      </c>
      <c r="I28" s="14" t="s">
        <v>404</v>
      </c>
      <c r="J28" s="14" t="s">
        <v>405</v>
      </c>
      <c r="K28" s="14" t="s">
        <v>406</v>
      </c>
      <c r="L28" s="14" t="s">
        <v>203</v>
      </c>
      <c r="M28" s="14" t="s">
        <v>168</v>
      </c>
      <c r="N28" s="14" t="s">
        <v>407</v>
      </c>
      <c r="O28" s="14" t="s">
        <v>194</v>
      </c>
      <c r="P28" s="14" t="s">
        <v>408</v>
      </c>
      <c r="Q28" s="14" t="s">
        <v>172</v>
      </c>
      <c r="R28" s="14" t="s">
        <v>409</v>
      </c>
      <c r="S28" s="14" t="s">
        <v>170</v>
      </c>
      <c r="T28" s="14" t="s">
        <v>173</v>
      </c>
      <c r="U28" s="14" t="s">
        <v>208</v>
      </c>
      <c r="V28" s="14" t="s">
        <v>209</v>
      </c>
      <c r="W28" s="14" t="s">
        <v>410</v>
      </c>
      <c r="X28" s="14" t="s">
        <v>411</v>
      </c>
      <c r="Y28" s="14" t="s">
        <v>412</v>
      </c>
    </row>
    <row r="29" ht="15.75" customHeight="1">
      <c r="A29" s="14">
        <v>23855.0</v>
      </c>
      <c r="B29" s="14" t="s">
        <v>8</v>
      </c>
      <c r="D29" s="14" t="s">
        <v>9</v>
      </c>
      <c r="E29" s="14" t="s">
        <v>86</v>
      </c>
      <c r="F29" s="43" t="s">
        <v>15</v>
      </c>
      <c r="G29" s="14">
        <v>2018.0</v>
      </c>
      <c r="H29" s="14">
        <v>2018.0</v>
      </c>
      <c r="I29" s="14" t="s">
        <v>189</v>
      </c>
      <c r="J29" s="14" t="s">
        <v>413</v>
      </c>
      <c r="K29" s="14" t="s">
        <v>414</v>
      </c>
      <c r="L29" s="14" t="s">
        <v>167</v>
      </c>
      <c r="M29" s="14" t="s">
        <v>168</v>
      </c>
      <c r="N29" s="14" t="s">
        <v>415</v>
      </c>
      <c r="O29" s="14" t="s">
        <v>194</v>
      </c>
      <c r="P29" s="14" t="s">
        <v>416</v>
      </c>
      <c r="Q29" s="14" t="s">
        <v>196</v>
      </c>
      <c r="R29" s="14" t="s">
        <v>417</v>
      </c>
      <c r="S29" s="14" t="s">
        <v>170</v>
      </c>
      <c r="T29" s="14" t="s">
        <v>173</v>
      </c>
      <c r="U29" s="14" t="s">
        <v>372</v>
      </c>
      <c r="V29" s="14" t="s">
        <v>186</v>
      </c>
      <c r="W29" s="14" t="s">
        <v>418</v>
      </c>
      <c r="Y29" s="14" t="s">
        <v>419</v>
      </c>
    </row>
    <row r="30" ht="15.75" customHeight="1">
      <c r="A30" s="14">
        <v>30061.0</v>
      </c>
      <c r="B30" s="14" t="s">
        <v>8</v>
      </c>
      <c r="D30" s="14" t="s">
        <v>9</v>
      </c>
      <c r="E30" s="14" t="s">
        <v>122</v>
      </c>
      <c r="F30" s="43" t="s">
        <v>15</v>
      </c>
      <c r="G30" s="14">
        <v>2020.0</v>
      </c>
      <c r="H30" s="14">
        <v>2020.0</v>
      </c>
      <c r="I30" s="14" t="s">
        <v>292</v>
      </c>
      <c r="J30" s="14" t="s">
        <v>420</v>
      </c>
      <c r="K30" s="14" t="s">
        <v>421</v>
      </c>
      <c r="L30" s="14" t="s">
        <v>422</v>
      </c>
      <c r="M30" s="14" t="s">
        <v>217</v>
      </c>
      <c r="N30" s="14" t="s">
        <v>423</v>
      </c>
      <c r="O30" s="14" t="s">
        <v>170</v>
      </c>
      <c r="P30" s="14" t="s">
        <v>424</v>
      </c>
      <c r="Q30" s="14" t="s">
        <v>425</v>
      </c>
      <c r="R30" s="14" t="s">
        <v>426</v>
      </c>
      <c r="S30" s="14" t="s">
        <v>170</v>
      </c>
      <c r="T30" s="14" t="s">
        <v>173</v>
      </c>
      <c r="U30" s="14" t="s">
        <v>208</v>
      </c>
      <c r="V30" s="14" t="s">
        <v>209</v>
      </c>
      <c r="W30" s="14" t="s">
        <v>427</v>
      </c>
      <c r="Y30" s="14" t="s">
        <v>428</v>
      </c>
    </row>
    <row r="31" ht="15.75" customHeight="1">
      <c r="A31" s="14">
        <v>12641.0</v>
      </c>
      <c r="B31" s="14" t="s">
        <v>8</v>
      </c>
      <c r="D31" s="14" t="s">
        <v>9</v>
      </c>
      <c r="E31" s="14" t="s">
        <v>59</v>
      </c>
      <c r="F31" s="43" t="s">
        <v>15</v>
      </c>
      <c r="G31" s="14">
        <v>2014.0</v>
      </c>
      <c r="H31" s="14">
        <v>2014.0</v>
      </c>
      <c r="I31" s="14" t="s">
        <v>429</v>
      </c>
      <c r="J31" s="14" t="s">
        <v>430</v>
      </c>
      <c r="K31" s="14" t="s">
        <v>431</v>
      </c>
      <c r="L31" s="14" t="s">
        <v>216</v>
      </c>
      <c r="M31" s="14" t="s">
        <v>217</v>
      </c>
      <c r="N31" s="14" t="s">
        <v>432</v>
      </c>
      <c r="O31" s="14" t="s">
        <v>170</v>
      </c>
      <c r="P31" s="14" t="s">
        <v>173</v>
      </c>
      <c r="Q31" s="14" t="s">
        <v>170</v>
      </c>
      <c r="R31" s="14" t="s">
        <v>173</v>
      </c>
      <c r="S31" s="14" t="s">
        <v>170</v>
      </c>
      <c r="T31" s="14" t="s">
        <v>173</v>
      </c>
      <c r="U31" s="14" t="s">
        <v>322</v>
      </c>
      <c r="V31" s="14" t="s">
        <v>175</v>
      </c>
      <c r="W31" s="14" t="s">
        <v>433</v>
      </c>
      <c r="Y31" s="14" t="s">
        <v>434</v>
      </c>
    </row>
    <row r="32" ht="15.75" customHeight="1">
      <c r="A32" s="14">
        <v>34041.0</v>
      </c>
      <c r="B32" s="14" t="s">
        <v>8</v>
      </c>
      <c r="D32" s="14" t="s">
        <v>9</v>
      </c>
      <c r="E32" s="14" t="s">
        <v>132</v>
      </c>
      <c r="F32" s="43" t="s">
        <v>15</v>
      </c>
      <c r="G32" s="14">
        <v>2022.0</v>
      </c>
      <c r="H32" s="14">
        <v>2022.0</v>
      </c>
      <c r="I32" s="14" t="s">
        <v>189</v>
      </c>
      <c r="J32" s="14" t="s">
        <v>435</v>
      </c>
      <c r="K32" s="14" t="s">
        <v>436</v>
      </c>
      <c r="L32" s="14" t="s">
        <v>422</v>
      </c>
      <c r="M32" s="14" t="s">
        <v>217</v>
      </c>
      <c r="N32" s="14" t="s">
        <v>437</v>
      </c>
      <c r="O32" s="14" t="s">
        <v>170</v>
      </c>
      <c r="P32" s="14" t="s">
        <v>173</v>
      </c>
      <c r="Q32" s="14" t="s">
        <v>170</v>
      </c>
      <c r="R32" s="14" t="s">
        <v>438</v>
      </c>
      <c r="S32" s="14" t="s">
        <v>170</v>
      </c>
      <c r="T32" s="14" t="s">
        <v>173</v>
      </c>
      <c r="U32" s="14" t="s">
        <v>174</v>
      </c>
      <c r="V32" s="14" t="s">
        <v>175</v>
      </c>
      <c r="W32" s="14" t="s">
        <v>439</v>
      </c>
      <c r="Y32" s="14" t="s">
        <v>440</v>
      </c>
    </row>
    <row r="33" ht="15.75" customHeight="1">
      <c r="A33" s="14">
        <v>232488.0</v>
      </c>
      <c r="B33" s="14" t="s">
        <v>12</v>
      </c>
      <c r="D33" s="14" t="s">
        <v>13</v>
      </c>
      <c r="E33" s="14" t="s">
        <v>68</v>
      </c>
      <c r="F33" s="43" t="s">
        <v>15</v>
      </c>
      <c r="G33" s="14">
        <v>2014.0</v>
      </c>
      <c r="H33" s="14">
        <v>2015.0</v>
      </c>
      <c r="I33" s="14" t="s">
        <v>189</v>
      </c>
      <c r="J33" s="14" t="s">
        <v>441</v>
      </c>
      <c r="K33" s="14" t="s">
        <v>442</v>
      </c>
      <c r="L33" s="14" t="s">
        <v>265</v>
      </c>
      <c r="M33" s="14" t="s">
        <v>217</v>
      </c>
      <c r="N33" s="14" t="s">
        <v>443</v>
      </c>
      <c r="O33" s="14" t="s">
        <v>194</v>
      </c>
      <c r="P33" s="14" t="s">
        <v>444</v>
      </c>
      <c r="Q33" s="14" t="s">
        <v>196</v>
      </c>
      <c r="R33" s="14" t="s">
        <v>445</v>
      </c>
      <c r="S33" s="14" t="s">
        <v>170</v>
      </c>
      <c r="T33" s="14" t="s">
        <v>173</v>
      </c>
      <c r="U33" s="14" t="s">
        <v>446</v>
      </c>
      <c r="V33" s="14" t="s">
        <v>186</v>
      </c>
      <c r="W33" s="14" t="s">
        <v>447</v>
      </c>
      <c r="Y33" s="14" t="s">
        <v>448</v>
      </c>
    </row>
    <row r="34" ht="15.75" customHeight="1">
      <c r="A34" s="14">
        <v>118123.0</v>
      </c>
      <c r="B34" s="14" t="s">
        <v>12</v>
      </c>
      <c r="D34" s="14" t="s">
        <v>13</v>
      </c>
      <c r="E34" s="14" t="s">
        <v>14</v>
      </c>
      <c r="F34" s="43" t="s">
        <v>15</v>
      </c>
      <c r="G34" s="14">
        <v>2011.0</v>
      </c>
      <c r="H34" s="14">
        <v>2011.0</v>
      </c>
      <c r="I34" s="14" t="s">
        <v>189</v>
      </c>
      <c r="J34" s="14" t="s">
        <v>449</v>
      </c>
      <c r="K34" s="14" t="s">
        <v>450</v>
      </c>
      <c r="L34" s="14" t="s">
        <v>203</v>
      </c>
      <c r="M34" s="14" t="s">
        <v>168</v>
      </c>
      <c r="N34" s="14" t="s">
        <v>451</v>
      </c>
      <c r="O34" s="14" t="s">
        <v>194</v>
      </c>
      <c r="P34" s="14" t="s">
        <v>452</v>
      </c>
      <c r="Q34" s="14" t="s">
        <v>170</v>
      </c>
      <c r="R34" s="14" t="s">
        <v>453</v>
      </c>
      <c r="S34" s="14" t="s">
        <v>170</v>
      </c>
      <c r="T34" s="14" t="s">
        <v>454</v>
      </c>
      <c r="U34" s="14" t="s">
        <v>208</v>
      </c>
      <c r="V34" s="14" t="s">
        <v>209</v>
      </c>
      <c r="W34" s="14" t="s">
        <v>455</v>
      </c>
      <c r="X34" s="14" t="s">
        <v>456</v>
      </c>
      <c r="Y34" s="14" t="s">
        <v>457</v>
      </c>
    </row>
    <row r="35" ht="15.75" customHeight="1">
      <c r="A35" s="14">
        <v>20827.0</v>
      </c>
      <c r="B35" s="14" t="s">
        <v>8</v>
      </c>
      <c r="D35" s="14" t="s">
        <v>9</v>
      </c>
      <c r="E35" s="14" t="s">
        <v>84</v>
      </c>
      <c r="F35" s="43" t="s">
        <v>15</v>
      </c>
      <c r="G35" s="14">
        <v>2017.0</v>
      </c>
      <c r="H35" s="14">
        <v>2017.0</v>
      </c>
      <c r="I35" s="14" t="s">
        <v>189</v>
      </c>
      <c r="J35" s="14" t="s">
        <v>458</v>
      </c>
      <c r="K35" s="14" t="s">
        <v>459</v>
      </c>
      <c r="L35" s="14" t="s">
        <v>460</v>
      </c>
      <c r="M35" s="14" t="s">
        <v>168</v>
      </c>
      <c r="N35" s="14" t="s">
        <v>461</v>
      </c>
      <c r="O35" s="14" t="s">
        <v>194</v>
      </c>
      <c r="P35" s="14" t="s">
        <v>462</v>
      </c>
      <c r="Q35" s="14" t="s">
        <v>196</v>
      </c>
      <c r="R35" s="14" t="s">
        <v>463</v>
      </c>
      <c r="S35" s="14" t="s">
        <v>170</v>
      </c>
      <c r="T35" s="14" t="s">
        <v>173</v>
      </c>
      <c r="U35" s="14" t="s">
        <v>464</v>
      </c>
      <c r="V35" s="14" t="s">
        <v>259</v>
      </c>
      <c r="W35" s="14" t="s">
        <v>465</v>
      </c>
      <c r="Y35" s="14" t="s">
        <v>466</v>
      </c>
    </row>
    <row r="36" ht="15.75" customHeight="1">
      <c r="A36" s="14">
        <v>392860.0</v>
      </c>
      <c r="B36" s="14" t="s">
        <v>12</v>
      </c>
      <c r="D36" s="14" t="s">
        <v>13</v>
      </c>
      <c r="E36" s="14" t="s">
        <v>103</v>
      </c>
      <c r="F36" s="43" t="s">
        <v>15</v>
      </c>
      <c r="G36" s="14">
        <v>2019.0</v>
      </c>
      <c r="H36" s="14">
        <v>2019.0</v>
      </c>
      <c r="I36" s="14" t="s">
        <v>467</v>
      </c>
      <c r="J36" s="14" t="s">
        <v>468</v>
      </c>
      <c r="K36" s="14" t="s">
        <v>469</v>
      </c>
      <c r="L36" s="14" t="s">
        <v>167</v>
      </c>
      <c r="M36" s="14" t="s">
        <v>168</v>
      </c>
      <c r="N36" s="14" t="s">
        <v>470</v>
      </c>
      <c r="O36" s="14" t="s">
        <v>194</v>
      </c>
      <c r="P36" s="14" t="s">
        <v>471</v>
      </c>
      <c r="Q36" s="14" t="s">
        <v>170</v>
      </c>
      <c r="R36" s="14" t="s">
        <v>173</v>
      </c>
      <c r="S36" s="14" t="s">
        <v>170</v>
      </c>
      <c r="T36" s="14" t="s">
        <v>173</v>
      </c>
      <c r="U36" s="14" t="s">
        <v>246</v>
      </c>
      <c r="V36" s="14" t="s">
        <v>247</v>
      </c>
      <c r="W36" s="14" t="s">
        <v>472</v>
      </c>
      <c r="Y36" s="14" t="s">
        <v>473</v>
      </c>
    </row>
    <row r="37" ht="15.75" customHeight="1">
      <c r="A37" s="14">
        <v>7953.0</v>
      </c>
      <c r="B37" s="14" t="s">
        <v>8</v>
      </c>
      <c r="D37" s="14" t="s">
        <v>9</v>
      </c>
      <c r="E37" s="14" t="s">
        <v>34</v>
      </c>
      <c r="F37" s="43" t="s">
        <v>15</v>
      </c>
      <c r="G37" s="14">
        <v>2012.0</v>
      </c>
      <c r="H37" s="14">
        <v>2012.0</v>
      </c>
      <c r="I37" s="14" t="s">
        <v>474</v>
      </c>
      <c r="J37" s="14" t="s">
        <v>475</v>
      </c>
      <c r="K37" s="14" t="s">
        <v>475</v>
      </c>
      <c r="L37" s="14" t="s">
        <v>167</v>
      </c>
      <c r="M37" s="14" t="s">
        <v>168</v>
      </c>
      <c r="N37" s="14" t="s">
        <v>476</v>
      </c>
      <c r="O37" s="14" t="s">
        <v>194</v>
      </c>
      <c r="P37" s="14" t="s">
        <v>477</v>
      </c>
      <c r="Q37" s="14" t="s">
        <v>196</v>
      </c>
      <c r="R37" s="14" t="s">
        <v>478</v>
      </c>
      <c r="S37" s="14" t="s">
        <v>170</v>
      </c>
      <c r="T37" s="14" t="s">
        <v>479</v>
      </c>
      <c r="U37" s="14" t="s">
        <v>299</v>
      </c>
      <c r="V37" s="14" t="s">
        <v>259</v>
      </c>
      <c r="W37" s="14" t="s">
        <v>480</v>
      </c>
      <c r="Y37" s="14" t="s">
        <v>481</v>
      </c>
    </row>
    <row r="38" ht="15.75" customHeight="1">
      <c r="A38" s="14">
        <v>127300.0</v>
      </c>
      <c r="B38" s="14" t="s">
        <v>12</v>
      </c>
      <c r="D38" s="14" t="s">
        <v>13</v>
      </c>
      <c r="E38" s="14" t="s">
        <v>42</v>
      </c>
      <c r="F38" s="43" t="s">
        <v>15</v>
      </c>
      <c r="G38" s="14">
        <v>2011.0</v>
      </c>
      <c r="H38" s="14">
        <v>2012.0</v>
      </c>
      <c r="I38" s="14" t="s">
        <v>282</v>
      </c>
      <c r="J38" s="14" t="s">
        <v>482</v>
      </c>
      <c r="K38" s="14" t="s">
        <v>483</v>
      </c>
      <c r="L38" s="14" t="s">
        <v>484</v>
      </c>
      <c r="M38" s="14" t="s">
        <v>217</v>
      </c>
      <c r="N38" s="14" t="s">
        <v>485</v>
      </c>
      <c r="O38" s="14" t="s">
        <v>170</v>
      </c>
      <c r="P38" s="14" t="s">
        <v>486</v>
      </c>
      <c r="Q38" s="14" t="s">
        <v>170</v>
      </c>
      <c r="R38" s="14" t="s">
        <v>487</v>
      </c>
      <c r="S38" s="14" t="s">
        <v>170</v>
      </c>
      <c r="T38" s="14" t="s">
        <v>173</v>
      </c>
      <c r="U38" s="14" t="s">
        <v>289</v>
      </c>
      <c r="V38" s="14" t="s">
        <v>247</v>
      </c>
      <c r="W38" s="14" t="s">
        <v>488</v>
      </c>
      <c r="Y38" s="14" t="s">
        <v>489</v>
      </c>
    </row>
    <row r="39" ht="15.75" customHeight="1">
      <c r="A39" s="14">
        <v>560.0</v>
      </c>
      <c r="B39" s="14" t="s">
        <v>24</v>
      </c>
      <c r="D39" s="14" t="s">
        <v>25</v>
      </c>
      <c r="E39" s="14" t="s">
        <v>26</v>
      </c>
      <c r="F39" s="43" t="s">
        <v>15</v>
      </c>
      <c r="G39" s="14">
        <v>2011.0</v>
      </c>
      <c r="H39" s="14">
        <v>2011.0</v>
      </c>
      <c r="I39" s="14" t="s">
        <v>490</v>
      </c>
      <c r="J39" s="14" t="s">
        <v>491</v>
      </c>
      <c r="K39" s="14" t="s">
        <v>492</v>
      </c>
      <c r="L39" s="14" t="s">
        <v>422</v>
      </c>
      <c r="M39" s="14" t="s">
        <v>217</v>
      </c>
      <c r="N39" s="14" t="s">
        <v>493</v>
      </c>
      <c r="O39" s="14" t="s">
        <v>194</v>
      </c>
      <c r="P39" s="14" t="s">
        <v>494</v>
      </c>
      <c r="Q39" s="14" t="s">
        <v>206</v>
      </c>
      <c r="R39" s="14" t="s">
        <v>495</v>
      </c>
      <c r="S39" s="14" t="s">
        <v>332</v>
      </c>
      <c r="T39" s="14" t="s">
        <v>496</v>
      </c>
      <c r="U39" s="14" t="s">
        <v>174</v>
      </c>
      <c r="V39" s="14" t="s">
        <v>175</v>
      </c>
      <c r="W39" s="14" t="s">
        <v>497</v>
      </c>
      <c r="Y39" s="14" t="s">
        <v>498</v>
      </c>
    </row>
    <row r="40" ht="15.75" customHeight="1">
      <c r="A40" s="14">
        <v>8410.0</v>
      </c>
      <c r="B40" s="14" t="s">
        <v>8</v>
      </c>
      <c r="D40" s="14" t="s">
        <v>9</v>
      </c>
      <c r="E40" s="14" t="s">
        <v>43</v>
      </c>
      <c r="F40" s="43" t="s">
        <v>15</v>
      </c>
      <c r="G40" s="14">
        <v>2013.0</v>
      </c>
      <c r="H40" s="14">
        <v>2013.0</v>
      </c>
      <c r="I40" s="14" t="s">
        <v>499</v>
      </c>
      <c r="J40" s="14" t="s">
        <v>500</v>
      </c>
      <c r="K40" s="14" t="s">
        <v>500</v>
      </c>
      <c r="L40" s="14" t="s">
        <v>203</v>
      </c>
      <c r="M40" s="14" t="s">
        <v>168</v>
      </c>
      <c r="N40" s="14" t="s">
        <v>501</v>
      </c>
      <c r="O40" s="14" t="s">
        <v>194</v>
      </c>
      <c r="P40" s="14" t="s">
        <v>502</v>
      </c>
      <c r="Q40" s="14" t="s">
        <v>196</v>
      </c>
      <c r="R40" s="14" t="s">
        <v>503</v>
      </c>
      <c r="S40" s="14" t="s">
        <v>170</v>
      </c>
      <c r="T40" s="14" t="s">
        <v>173</v>
      </c>
      <c r="U40" s="14" t="s">
        <v>372</v>
      </c>
      <c r="V40" s="14" t="s">
        <v>186</v>
      </c>
      <c r="W40" s="14" t="s">
        <v>504</v>
      </c>
      <c r="X40" s="14" t="s">
        <v>505</v>
      </c>
      <c r="Y40" s="14" t="s">
        <v>506</v>
      </c>
    </row>
    <row r="41" ht="15.75" customHeight="1">
      <c r="A41" s="14">
        <v>27494.0</v>
      </c>
      <c r="B41" s="14" t="s">
        <v>8</v>
      </c>
      <c r="D41" s="14" t="s">
        <v>9</v>
      </c>
      <c r="E41" s="14" t="s">
        <v>102</v>
      </c>
      <c r="F41" s="43" t="s">
        <v>15</v>
      </c>
      <c r="G41" s="14">
        <v>2019.0</v>
      </c>
      <c r="H41" s="14">
        <v>2019.0</v>
      </c>
      <c r="I41" s="14" t="s">
        <v>189</v>
      </c>
      <c r="J41" s="14" t="s">
        <v>507</v>
      </c>
      <c r="K41" s="14" t="s">
        <v>508</v>
      </c>
      <c r="L41" s="14" t="s">
        <v>274</v>
      </c>
      <c r="M41" s="14" t="s">
        <v>217</v>
      </c>
      <c r="N41" s="14" t="s">
        <v>509</v>
      </c>
      <c r="O41" s="14" t="s">
        <v>170</v>
      </c>
      <c r="P41" s="14" t="s">
        <v>510</v>
      </c>
      <c r="Q41" s="14" t="s">
        <v>172</v>
      </c>
      <c r="R41" s="14" t="s">
        <v>511</v>
      </c>
      <c r="S41" s="14" t="s">
        <v>170</v>
      </c>
      <c r="T41" s="14" t="s">
        <v>512</v>
      </c>
      <c r="U41" s="14" t="s">
        <v>464</v>
      </c>
      <c r="V41" s="14" t="s">
        <v>259</v>
      </c>
      <c r="W41" s="14" t="s">
        <v>513</v>
      </c>
      <c r="Y41" s="14" t="s">
        <v>514</v>
      </c>
    </row>
    <row r="42" ht="15.75" customHeight="1">
      <c r="A42" s="14">
        <v>234758.0</v>
      </c>
      <c r="B42" s="14" t="s">
        <v>12</v>
      </c>
      <c r="D42" s="14" t="s">
        <v>13</v>
      </c>
      <c r="E42" s="14" t="s">
        <v>55</v>
      </c>
      <c r="F42" s="43" t="s">
        <v>15</v>
      </c>
      <c r="G42" s="14">
        <v>2014.0</v>
      </c>
      <c r="H42" s="14">
        <v>2014.0</v>
      </c>
      <c r="I42" s="14" t="s">
        <v>189</v>
      </c>
      <c r="J42" s="14" t="s">
        <v>515</v>
      </c>
      <c r="K42" s="14" t="s">
        <v>516</v>
      </c>
      <c r="L42" s="14" t="s">
        <v>192</v>
      </c>
      <c r="M42" s="14" t="s">
        <v>168</v>
      </c>
      <c r="N42" s="14" t="s">
        <v>517</v>
      </c>
      <c r="O42" s="14" t="s">
        <v>170</v>
      </c>
      <c r="P42" s="14" t="s">
        <v>518</v>
      </c>
      <c r="Q42" s="14" t="s">
        <v>196</v>
      </c>
      <c r="R42" s="14" t="s">
        <v>519</v>
      </c>
      <c r="S42" s="14" t="s">
        <v>256</v>
      </c>
      <c r="T42" s="14" t="s">
        <v>520</v>
      </c>
      <c r="U42" s="14" t="s">
        <v>208</v>
      </c>
      <c r="V42" s="14" t="s">
        <v>209</v>
      </c>
      <c r="W42" s="14" t="s">
        <v>521</v>
      </c>
      <c r="Y42" s="14" t="s">
        <v>522</v>
      </c>
    </row>
    <row r="43" ht="15.75" customHeight="1">
      <c r="A43" s="14">
        <v>315641.0</v>
      </c>
      <c r="B43" s="14" t="s">
        <v>12</v>
      </c>
      <c r="D43" s="14" t="s">
        <v>233</v>
      </c>
      <c r="E43" s="14" t="s">
        <v>69</v>
      </c>
      <c r="F43" s="43" t="s">
        <v>15</v>
      </c>
      <c r="G43" s="14">
        <v>2016.0</v>
      </c>
      <c r="H43" s="14">
        <v>2016.0</v>
      </c>
      <c r="I43" s="14" t="s">
        <v>189</v>
      </c>
      <c r="J43" s="14" t="s">
        <v>523</v>
      </c>
      <c r="K43" s="14" t="s">
        <v>524</v>
      </c>
      <c r="L43" s="14" t="s">
        <v>203</v>
      </c>
      <c r="M43" s="14" t="s">
        <v>168</v>
      </c>
      <c r="N43" s="14" t="s">
        <v>525</v>
      </c>
      <c r="O43" s="14" t="s">
        <v>194</v>
      </c>
      <c r="P43" s="14" t="s">
        <v>526</v>
      </c>
      <c r="Q43" s="14" t="s">
        <v>196</v>
      </c>
      <c r="R43" s="14" t="s">
        <v>527</v>
      </c>
      <c r="S43" s="14" t="s">
        <v>170</v>
      </c>
      <c r="T43" s="14" t="s">
        <v>173</v>
      </c>
      <c r="U43" s="14" t="s">
        <v>198</v>
      </c>
      <c r="V43" s="14" t="s">
        <v>186</v>
      </c>
      <c r="W43" s="14" t="s">
        <v>528</v>
      </c>
      <c r="X43" s="14" t="s">
        <v>529</v>
      </c>
      <c r="Y43" s="14" t="s">
        <v>530</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Y$43"/>
  <printOptions/>
  <pageMargins bottom="0.787401575" footer="0.0" header="0.0" left="0.511811024" right="0.511811024"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22.0"/>
    <col customWidth="1" min="2" max="2" width="31.38"/>
    <col customWidth="1" min="3" max="3" width="57.13"/>
    <col customWidth="1" min="4" max="6" width="12.63"/>
  </cols>
  <sheetData>
    <row r="1" ht="15.75" customHeight="1">
      <c r="A1" s="14" t="s">
        <v>151</v>
      </c>
      <c r="B1" s="14" t="s">
        <v>150</v>
      </c>
      <c r="C1" s="14" t="s">
        <v>531</v>
      </c>
      <c r="D1" s="14" t="s">
        <v>532</v>
      </c>
      <c r="E1" s="14" t="s">
        <v>533</v>
      </c>
      <c r="F1" s="14" t="s">
        <v>533</v>
      </c>
    </row>
    <row r="2" ht="15.75" customHeight="1">
      <c r="A2" s="14" t="s">
        <v>217</v>
      </c>
      <c r="B2" s="14" t="s">
        <v>534</v>
      </c>
      <c r="C2" s="14"/>
      <c r="D2" s="14">
        <v>1.0</v>
      </c>
      <c r="E2" s="14">
        <v>5.0</v>
      </c>
      <c r="F2" s="48">
        <v>0.11904761904761904</v>
      </c>
    </row>
    <row r="3" ht="15.75" customHeight="1">
      <c r="A3" s="14"/>
      <c r="B3" s="14" t="s">
        <v>535</v>
      </c>
      <c r="C3" s="14"/>
      <c r="D3" s="14">
        <v>1.0</v>
      </c>
      <c r="E3" s="14">
        <v>1.0</v>
      </c>
      <c r="F3" s="48">
        <v>0.023809523809523808</v>
      </c>
    </row>
    <row r="4" ht="15.75" customHeight="1">
      <c r="A4" s="14"/>
      <c r="B4" s="14" t="s">
        <v>536</v>
      </c>
      <c r="C4" s="14"/>
      <c r="D4" s="14">
        <v>1.0</v>
      </c>
      <c r="E4" s="14">
        <v>3.0</v>
      </c>
      <c r="F4" s="48">
        <v>0.07142857142857142</v>
      </c>
    </row>
    <row r="5" ht="15.75" customHeight="1">
      <c r="A5" s="14"/>
      <c r="B5" s="14" t="s">
        <v>537</v>
      </c>
      <c r="C5" s="14"/>
      <c r="D5" s="14">
        <v>1.0</v>
      </c>
      <c r="E5" s="14">
        <v>3.0</v>
      </c>
      <c r="F5" s="48">
        <v>0.07142857142857142</v>
      </c>
    </row>
    <row r="6" ht="15.75" customHeight="1">
      <c r="A6" s="14"/>
      <c r="B6" s="14" t="s">
        <v>538</v>
      </c>
      <c r="C6" s="14"/>
      <c r="D6" s="14">
        <v>1.0</v>
      </c>
      <c r="E6" s="14">
        <v>3.0</v>
      </c>
      <c r="F6" s="48">
        <v>0.07142857142857142</v>
      </c>
    </row>
    <row r="7" ht="15.75" customHeight="1">
      <c r="A7" s="14"/>
      <c r="B7" s="14" t="s">
        <v>539</v>
      </c>
      <c r="C7" s="14"/>
      <c r="D7" s="14">
        <v>1.0</v>
      </c>
      <c r="E7" s="14">
        <v>5.0</v>
      </c>
      <c r="F7" s="48">
        <v>0.11904761904761904</v>
      </c>
    </row>
    <row r="8" ht="15.75" customHeight="1">
      <c r="A8" s="14"/>
      <c r="B8" s="14" t="s">
        <v>540</v>
      </c>
      <c r="C8" s="14"/>
      <c r="D8" s="14">
        <v>1.0</v>
      </c>
      <c r="E8" s="14">
        <v>1.0</v>
      </c>
      <c r="F8" s="48">
        <v>0.023809523809523808</v>
      </c>
    </row>
    <row r="9" ht="15.75" customHeight="1">
      <c r="A9" s="14" t="s">
        <v>541</v>
      </c>
      <c r="B9" s="14"/>
      <c r="C9" s="14"/>
      <c r="D9" s="14">
        <v>7.0</v>
      </c>
      <c r="E9" s="14">
        <v>21.0</v>
      </c>
      <c r="F9" s="48">
        <v>0.5</v>
      </c>
    </row>
    <row r="10" ht="15.75" customHeight="1">
      <c r="A10" s="14" t="s">
        <v>168</v>
      </c>
      <c r="B10" s="14" t="s">
        <v>542</v>
      </c>
      <c r="C10" s="14"/>
      <c r="D10" s="14">
        <v>1.0</v>
      </c>
      <c r="E10" s="14">
        <v>7.0</v>
      </c>
      <c r="F10" s="48">
        <v>0.16666666666666666</v>
      </c>
    </row>
    <row r="11" ht="15.75" customHeight="1">
      <c r="A11" s="14"/>
      <c r="B11" s="14" t="s">
        <v>543</v>
      </c>
      <c r="C11" s="14"/>
      <c r="D11" s="14">
        <v>1.0</v>
      </c>
      <c r="E11" s="14">
        <v>11.0</v>
      </c>
      <c r="F11" s="48">
        <v>0.2619047619047619</v>
      </c>
    </row>
    <row r="12" ht="15.75" customHeight="1">
      <c r="A12" s="14"/>
      <c r="B12" s="14" t="s">
        <v>544</v>
      </c>
      <c r="C12" s="14"/>
      <c r="D12" s="14">
        <v>1.0</v>
      </c>
      <c r="E12" s="14">
        <v>1.0</v>
      </c>
      <c r="F12" s="48">
        <v>0.023809523809523808</v>
      </c>
    </row>
    <row r="13" ht="15.75" customHeight="1">
      <c r="A13" s="14"/>
      <c r="B13" s="14" t="s">
        <v>545</v>
      </c>
      <c r="C13" s="14"/>
      <c r="D13" s="14">
        <v>1.0</v>
      </c>
      <c r="E13" s="14">
        <v>2.0</v>
      </c>
      <c r="F13" s="48">
        <v>0.047619047619047616</v>
      </c>
    </row>
    <row r="14" ht="15.75" customHeight="1">
      <c r="A14" s="14" t="s">
        <v>546</v>
      </c>
      <c r="B14" s="14"/>
      <c r="C14" s="14"/>
      <c r="D14" s="14">
        <v>4.0</v>
      </c>
      <c r="E14" s="14">
        <v>21.0</v>
      </c>
      <c r="F14" s="48">
        <v>0.5</v>
      </c>
    </row>
    <row r="15" ht="15.75" customHeight="1">
      <c r="A15" s="14" t="s">
        <v>547</v>
      </c>
      <c r="B15" s="14"/>
      <c r="C15" s="14"/>
      <c r="D15" s="14">
        <v>11.0</v>
      </c>
      <c r="E15" s="14">
        <v>42.0</v>
      </c>
      <c r="F15" s="48">
        <v>1.0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c r="A9" s="51"/>
      <c r="B9" s="51"/>
      <c r="C9" s="52"/>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20.38"/>
    <col customWidth="1" min="2"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c r="A9" s="51"/>
      <c r="B9" s="51"/>
      <c r="C9" s="52"/>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20.38"/>
    <col customWidth="1" min="2" max="6" width="12.63"/>
  </cols>
  <sheetData>
    <row r="1" ht="15.75" customHeight="1"/>
    <row r="2" ht="15.75" customHeight="1"/>
    <row r="3" ht="15.75" customHeight="1"/>
    <row r="4" ht="15.75" customHeight="1"/>
    <row r="5" ht="15.75" customHeight="1"/>
    <row r="6" ht="15.75" customHeight="1"/>
    <row r="7" ht="15.75" customHeight="1">
      <c r="A7" s="51"/>
      <c r="B7" s="51"/>
      <c r="C7" s="52"/>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40.5"/>
    <col customWidth="1" min="2" max="2" width="38.38"/>
    <col customWidth="1" min="3" max="3" width="43.38"/>
    <col customWidth="1" min="4" max="6" width="12.63"/>
  </cols>
  <sheetData>
    <row r="1" ht="15.75" customHeight="1">
      <c r="A1" s="53"/>
      <c r="B1" s="54"/>
      <c r="C1" s="53" t="s">
        <v>551</v>
      </c>
      <c r="D1" s="55"/>
    </row>
    <row r="2" ht="15.75" customHeight="1">
      <c r="A2" s="53" t="s">
        <v>160</v>
      </c>
      <c r="B2" s="53" t="s">
        <v>159</v>
      </c>
      <c r="C2" s="53" t="s">
        <v>552</v>
      </c>
      <c r="D2" s="56" t="s">
        <v>552</v>
      </c>
    </row>
    <row r="3" ht="15.75" customHeight="1">
      <c r="A3" s="53" t="s">
        <v>259</v>
      </c>
      <c r="B3" s="53" t="s">
        <v>553</v>
      </c>
      <c r="C3" s="53">
        <v>2.0</v>
      </c>
      <c r="D3" s="57">
        <v>0.1111111111111111</v>
      </c>
    </row>
    <row r="4" ht="15.75" customHeight="1">
      <c r="A4" s="58"/>
      <c r="B4" s="59" t="s">
        <v>554</v>
      </c>
      <c r="C4" s="59">
        <v>1.0</v>
      </c>
      <c r="D4" s="60">
        <v>0.05555555555555555</v>
      </c>
    </row>
    <row r="5" ht="15.75" customHeight="1">
      <c r="A5" s="53" t="s">
        <v>555</v>
      </c>
      <c r="B5" s="53" t="s">
        <v>556</v>
      </c>
      <c r="C5" s="53">
        <v>4.0</v>
      </c>
      <c r="D5" s="57">
        <v>0.2222222222222222</v>
      </c>
    </row>
    <row r="6" ht="15.75" customHeight="1">
      <c r="A6" s="53" t="s">
        <v>209</v>
      </c>
      <c r="B6" s="53" t="s">
        <v>208</v>
      </c>
      <c r="C6" s="53">
        <v>3.0</v>
      </c>
      <c r="D6" s="57">
        <v>0.16666666666666666</v>
      </c>
    </row>
    <row r="7" ht="15.75" customHeight="1">
      <c r="A7" s="53" t="s">
        <v>557</v>
      </c>
      <c r="B7" s="53" t="s">
        <v>558</v>
      </c>
      <c r="C7" s="53">
        <v>1.0</v>
      </c>
      <c r="D7" s="57">
        <v>0.05555555555555555</v>
      </c>
    </row>
    <row r="8" ht="15.75" customHeight="1">
      <c r="A8" s="58"/>
      <c r="B8" s="59" t="s">
        <v>559</v>
      </c>
      <c r="C8" s="59">
        <v>2.0</v>
      </c>
      <c r="D8" s="60">
        <v>0.1111111111111111</v>
      </c>
    </row>
    <row r="9" ht="15.75" customHeight="1">
      <c r="A9" s="53" t="s">
        <v>247</v>
      </c>
      <c r="B9" s="53" t="s">
        <v>560</v>
      </c>
      <c r="C9" s="53">
        <v>1.0</v>
      </c>
      <c r="D9" s="57">
        <v>0.05555555555555555</v>
      </c>
    </row>
    <row r="10" ht="15.75" customHeight="1">
      <c r="A10" s="58"/>
      <c r="B10" s="59" t="s">
        <v>561</v>
      </c>
      <c r="C10" s="59">
        <v>2.0</v>
      </c>
      <c r="D10" s="60">
        <v>0.1111111111111111</v>
      </c>
    </row>
    <row r="11" ht="15.75" customHeight="1">
      <c r="A11" s="53" t="s">
        <v>562</v>
      </c>
      <c r="B11" s="53" t="s">
        <v>563</v>
      </c>
      <c r="C11" s="53">
        <v>1.0</v>
      </c>
      <c r="D11" s="57">
        <v>0.05555555555555555</v>
      </c>
    </row>
    <row r="12" ht="15.75" customHeight="1">
      <c r="A12" s="58"/>
      <c r="B12" s="59" t="s">
        <v>564</v>
      </c>
      <c r="C12" s="59">
        <v>1.0</v>
      </c>
      <c r="D12" s="60">
        <v>0.05555555555555555</v>
      </c>
    </row>
    <row r="13" ht="15.75" customHeight="1">
      <c r="A13" s="51" t="s">
        <v>565</v>
      </c>
      <c r="B13" s="61"/>
      <c r="C13" s="51">
        <v>18.0</v>
      </c>
      <c r="D13" s="52">
        <v>1.0</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40.5"/>
    <col customWidth="1" min="2" max="2" width="38.38"/>
    <col customWidth="1" min="3" max="3" width="43.38"/>
    <col customWidth="1" min="4" max="6" width="12.63"/>
  </cols>
  <sheetData>
    <row r="1" ht="15.75" customHeight="1">
      <c r="A1" s="53"/>
      <c r="B1" s="54"/>
      <c r="C1" s="53" t="s">
        <v>551</v>
      </c>
      <c r="D1" s="55"/>
    </row>
    <row r="2" ht="15.75" customHeight="1">
      <c r="A2" s="53" t="s">
        <v>151</v>
      </c>
      <c r="B2" s="53" t="s">
        <v>159</v>
      </c>
      <c r="C2" s="53" t="s">
        <v>552</v>
      </c>
      <c r="D2" s="56" t="s">
        <v>552</v>
      </c>
    </row>
    <row r="3" ht="15.75" customHeight="1">
      <c r="A3" s="53" t="s">
        <v>566</v>
      </c>
      <c r="B3" s="53" t="s">
        <v>553</v>
      </c>
      <c r="C3" s="53">
        <v>1.0</v>
      </c>
      <c r="D3" s="57">
        <v>0.023809523809523808</v>
      </c>
    </row>
    <row r="4" ht="15.75" customHeight="1">
      <c r="A4" s="58"/>
      <c r="B4" s="59" t="s">
        <v>208</v>
      </c>
      <c r="C4" s="59">
        <v>4.0</v>
      </c>
      <c r="D4" s="60">
        <v>0.09523809523809523</v>
      </c>
    </row>
    <row r="5" ht="15.75" customHeight="1">
      <c r="A5" s="58"/>
      <c r="B5" s="59" t="s">
        <v>567</v>
      </c>
      <c r="C5" s="59">
        <v>1.0</v>
      </c>
      <c r="D5" s="60">
        <v>0.023809523809523808</v>
      </c>
    </row>
    <row r="6" ht="15.75" customHeight="1">
      <c r="A6" s="58"/>
      <c r="B6" s="59" t="s">
        <v>568</v>
      </c>
      <c r="C6" s="59">
        <v>1.0</v>
      </c>
      <c r="D6" s="60">
        <v>0.023809523809523808</v>
      </c>
    </row>
    <row r="7" ht="15.75" customHeight="1">
      <c r="A7" s="58"/>
      <c r="B7" s="59" t="s">
        <v>556</v>
      </c>
      <c r="C7" s="59">
        <v>1.0</v>
      </c>
      <c r="D7" s="60">
        <v>0.023809523809523808</v>
      </c>
    </row>
    <row r="8" ht="15.75" customHeight="1">
      <c r="A8" s="58"/>
      <c r="B8" s="59" t="s">
        <v>560</v>
      </c>
      <c r="C8" s="59">
        <v>2.0</v>
      </c>
      <c r="D8" s="60">
        <v>0.047619047619047616</v>
      </c>
    </row>
    <row r="9" ht="15.75" customHeight="1">
      <c r="A9" s="58"/>
      <c r="B9" s="59" t="s">
        <v>563</v>
      </c>
      <c r="C9" s="59">
        <v>2.0</v>
      </c>
      <c r="D9" s="60">
        <v>0.047619047619047616</v>
      </c>
    </row>
    <row r="10" ht="15.75" customHeight="1">
      <c r="A10" s="58"/>
      <c r="B10" s="59" t="s">
        <v>554</v>
      </c>
      <c r="C10" s="59">
        <v>1.0</v>
      </c>
      <c r="D10" s="60">
        <v>0.023809523809523808</v>
      </c>
    </row>
    <row r="11" ht="15.75" customHeight="1">
      <c r="A11" s="58"/>
      <c r="B11" s="59" t="s">
        <v>561</v>
      </c>
      <c r="C11" s="59">
        <v>5.0</v>
      </c>
      <c r="D11" s="60">
        <v>0.11904761904761904</v>
      </c>
    </row>
    <row r="12" ht="15.75" customHeight="1">
      <c r="A12" s="58"/>
      <c r="B12" s="59" t="s">
        <v>564</v>
      </c>
      <c r="C12" s="59">
        <v>2.0</v>
      </c>
      <c r="D12" s="60">
        <v>0.047619047619047616</v>
      </c>
    </row>
    <row r="13" ht="15.75" customHeight="1">
      <c r="A13" s="58"/>
      <c r="B13" s="59" t="s">
        <v>559</v>
      </c>
      <c r="C13" s="59">
        <v>1.0</v>
      </c>
      <c r="D13" s="60">
        <v>0.023809523809523808</v>
      </c>
    </row>
    <row r="14" ht="15.75" customHeight="1">
      <c r="A14" s="53" t="s">
        <v>569</v>
      </c>
      <c r="B14" s="53" t="s">
        <v>553</v>
      </c>
      <c r="C14" s="53">
        <v>2.0</v>
      </c>
      <c r="D14" s="57">
        <v>0.047619047619047616</v>
      </c>
    </row>
    <row r="15" ht="15.75" customHeight="1">
      <c r="A15" s="58"/>
      <c r="B15" s="59" t="s">
        <v>558</v>
      </c>
      <c r="C15" s="59">
        <v>1.0</v>
      </c>
      <c r="D15" s="60">
        <v>0.023809523809523808</v>
      </c>
    </row>
    <row r="16" ht="15.75" customHeight="1">
      <c r="A16" s="58"/>
      <c r="B16" s="59" t="s">
        <v>208</v>
      </c>
      <c r="C16" s="59">
        <v>6.0</v>
      </c>
      <c r="D16" s="60">
        <v>0.14285714285714285</v>
      </c>
    </row>
    <row r="17" ht="15.75" customHeight="1">
      <c r="A17" s="58"/>
      <c r="B17" s="59" t="s">
        <v>568</v>
      </c>
      <c r="C17" s="59">
        <v>1.0</v>
      </c>
      <c r="D17" s="60">
        <v>0.023809523809523808</v>
      </c>
    </row>
    <row r="18" ht="15.75" customHeight="1">
      <c r="A18" s="58"/>
      <c r="B18" s="59" t="s">
        <v>556</v>
      </c>
      <c r="C18" s="59">
        <v>3.0</v>
      </c>
      <c r="D18" s="60">
        <v>0.07142857142857142</v>
      </c>
    </row>
    <row r="19" ht="15.75" customHeight="1">
      <c r="A19" s="58"/>
      <c r="B19" s="59" t="s">
        <v>563</v>
      </c>
      <c r="C19" s="59">
        <v>1.0</v>
      </c>
      <c r="D19" s="60">
        <v>0.023809523809523808</v>
      </c>
    </row>
    <row r="20" ht="15.75" customHeight="1">
      <c r="A20" s="58"/>
      <c r="B20" s="59" t="s">
        <v>561</v>
      </c>
      <c r="C20" s="59">
        <v>1.0</v>
      </c>
      <c r="D20" s="60">
        <v>0.023809523809523808</v>
      </c>
    </row>
    <row r="21" ht="15.75" customHeight="1">
      <c r="A21" s="58"/>
      <c r="B21" s="59" t="s">
        <v>564</v>
      </c>
      <c r="C21" s="59">
        <v>1.0</v>
      </c>
      <c r="D21" s="60">
        <v>0.023809523809523808</v>
      </c>
    </row>
    <row r="22" ht="15.75" customHeight="1">
      <c r="A22" s="58"/>
      <c r="B22" s="59" t="s">
        <v>570</v>
      </c>
      <c r="C22" s="59">
        <v>3.0</v>
      </c>
      <c r="D22" s="60">
        <v>0.07142857142857142</v>
      </c>
    </row>
    <row r="23" ht="15.75" customHeight="1">
      <c r="A23" s="58"/>
      <c r="B23" s="59" t="s">
        <v>559</v>
      </c>
      <c r="C23" s="59">
        <v>2.0</v>
      </c>
      <c r="D23" s="60">
        <v>0.047619047619047616</v>
      </c>
    </row>
    <row r="24" ht="15.75" customHeight="1">
      <c r="A24" s="51" t="s">
        <v>565</v>
      </c>
      <c r="B24" s="61"/>
      <c r="C24" s="51">
        <v>42.0</v>
      </c>
      <c r="D24" s="52">
        <v>1.0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40.5"/>
    <col customWidth="1" min="2" max="2" width="38.38"/>
    <col customWidth="1" min="3" max="3" width="43.38"/>
    <col customWidth="1" min="4" max="6" width="12.63"/>
  </cols>
  <sheetData>
    <row r="1" ht="15.75" customHeight="1">
      <c r="A1" s="53"/>
      <c r="B1" s="54"/>
      <c r="C1" s="53" t="s">
        <v>551</v>
      </c>
      <c r="D1" s="55"/>
    </row>
    <row r="2" ht="15.75" customHeight="1">
      <c r="A2" s="53" t="s">
        <v>150</v>
      </c>
      <c r="B2" s="53" t="s">
        <v>159</v>
      </c>
      <c r="C2" s="53" t="s">
        <v>552</v>
      </c>
      <c r="D2" s="56" t="s">
        <v>552</v>
      </c>
    </row>
    <row r="3" ht="15.75" customHeight="1">
      <c r="A3" s="53" t="s">
        <v>203</v>
      </c>
      <c r="B3" s="53" t="s">
        <v>208</v>
      </c>
      <c r="C3" s="53">
        <v>5.0</v>
      </c>
      <c r="D3" s="57">
        <v>0.17857142857142858</v>
      </c>
    </row>
    <row r="4" ht="15.75" customHeight="1">
      <c r="A4" s="58"/>
      <c r="B4" s="59" t="s">
        <v>570</v>
      </c>
      <c r="C4" s="59">
        <v>1.0</v>
      </c>
      <c r="D4" s="60">
        <v>0.03571428571428571</v>
      </c>
    </row>
    <row r="5" ht="15.75" customHeight="1">
      <c r="A5" s="58"/>
      <c r="B5" s="59" t="s">
        <v>559</v>
      </c>
      <c r="C5" s="59">
        <v>1.0</v>
      </c>
      <c r="D5" s="60">
        <v>0.03571428571428571</v>
      </c>
    </row>
    <row r="6" ht="15.75" customHeight="1">
      <c r="A6" s="53" t="s">
        <v>274</v>
      </c>
      <c r="B6" s="53" t="s">
        <v>553</v>
      </c>
      <c r="C6" s="53">
        <v>1.0</v>
      </c>
      <c r="D6" s="57">
        <v>0.03571428571428571</v>
      </c>
    </row>
    <row r="7" ht="15.75" customHeight="1">
      <c r="A7" s="58"/>
      <c r="B7" s="59" t="s">
        <v>208</v>
      </c>
      <c r="C7" s="59">
        <v>2.0</v>
      </c>
      <c r="D7" s="60">
        <v>0.07142857142857142</v>
      </c>
    </row>
    <row r="8" ht="15.75" customHeight="1">
      <c r="A8" s="58"/>
      <c r="B8" s="59" t="s">
        <v>568</v>
      </c>
      <c r="C8" s="59">
        <v>1.0</v>
      </c>
      <c r="D8" s="60">
        <v>0.03571428571428571</v>
      </c>
    </row>
    <row r="9" ht="15.75" customHeight="1">
      <c r="A9" s="58"/>
      <c r="B9" s="59" t="s">
        <v>560</v>
      </c>
      <c r="C9" s="59">
        <v>1.0</v>
      </c>
      <c r="D9" s="60">
        <v>0.03571428571428571</v>
      </c>
    </row>
    <row r="10" ht="15.75" customHeight="1">
      <c r="A10" s="53" t="s">
        <v>167</v>
      </c>
      <c r="B10" s="53" t="s">
        <v>553</v>
      </c>
      <c r="C10" s="53">
        <v>2.0</v>
      </c>
      <c r="D10" s="57">
        <v>0.07142857142857142</v>
      </c>
    </row>
    <row r="11" ht="15.75" customHeight="1">
      <c r="A11" s="58"/>
      <c r="B11" s="59" t="s">
        <v>558</v>
      </c>
      <c r="C11" s="59">
        <v>1.0</v>
      </c>
      <c r="D11" s="60">
        <v>0.03571428571428571</v>
      </c>
    </row>
    <row r="12" ht="15.75" customHeight="1">
      <c r="A12" s="58"/>
      <c r="B12" s="59" t="s">
        <v>556</v>
      </c>
      <c r="C12" s="59">
        <v>3.0</v>
      </c>
      <c r="D12" s="60">
        <v>0.10714285714285714</v>
      </c>
    </row>
    <row r="13" ht="15.75" customHeight="1">
      <c r="A13" s="58"/>
      <c r="B13" s="59" t="s">
        <v>563</v>
      </c>
      <c r="C13" s="59">
        <v>1.0</v>
      </c>
      <c r="D13" s="60">
        <v>0.03571428571428571</v>
      </c>
    </row>
    <row r="14" ht="15.75" customHeight="1">
      <c r="A14" s="58"/>
      <c r="B14" s="59" t="s">
        <v>561</v>
      </c>
      <c r="C14" s="59">
        <v>1.0</v>
      </c>
      <c r="D14" s="60">
        <v>0.03571428571428571</v>
      </c>
    </row>
    <row r="15" ht="15.75" customHeight="1">
      <c r="A15" s="58"/>
      <c r="B15" s="59" t="s">
        <v>564</v>
      </c>
      <c r="C15" s="59">
        <v>1.0</v>
      </c>
      <c r="D15" s="60">
        <v>0.03571428571428571</v>
      </c>
    </row>
    <row r="16" ht="15.75" customHeight="1">
      <c r="A16" s="58"/>
      <c r="B16" s="59" t="s">
        <v>570</v>
      </c>
      <c r="C16" s="59">
        <v>2.0</v>
      </c>
      <c r="D16" s="60">
        <v>0.07142857142857142</v>
      </c>
    </row>
    <row r="17" ht="15.75" customHeight="1">
      <c r="A17" s="53" t="s">
        <v>265</v>
      </c>
      <c r="B17" s="53" t="s">
        <v>208</v>
      </c>
      <c r="C17" s="53">
        <v>1.0</v>
      </c>
      <c r="D17" s="57">
        <v>0.03571428571428571</v>
      </c>
    </row>
    <row r="18" ht="15.75" customHeight="1">
      <c r="A18" s="58"/>
      <c r="B18" s="59" t="s">
        <v>567</v>
      </c>
      <c r="C18" s="59">
        <v>1.0</v>
      </c>
      <c r="D18" s="60">
        <v>0.03571428571428571</v>
      </c>
    </row>
    <row r="19" ht="15.75" customHeight="1">
      <c r="A19" s="58"/>
      <c r="B19" s="59" t="s">
        <v>561</v>
      </c>
      <c r="C19" s="59">
        <v>3.0</v>
      </c>
      <c r="D19" s="60">
        <v>0.10714285714285714</v>
      </c>
    </row>
    <row r="20" ht="15.75" customHeight="1">
      <c r="A20" s="51" t="s">
        <v>565</v>
      </c>
      <c r="B20" s="61"/>
      <c r="C20" s="51">
        <v>28.0</v>
      </c>
      <c r="D20" s="52">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40.5"/>
    <col customWidth="1" min="2" max="2" width="38.38"/>
    <col customWidth="1" min="3" max="3" width="43.38"/>
    <col customWidth="1" min="4" max="6" width="12.63"/>
  </cols>
  <sheetData>
    <row r="1" ht="15.75" customHeight="1">
      <c r="A1" s="53" t="s">
        <v>151</v>
      </c>
      <c r="B1" s="53" t="s">
        <v>160</v>
      </c>
      <c r="C1" s="62" t="s">
        <v>571</v>
      </c>
    </row>
    <row r="2" ht="15.75" customHeight="1">
      <c r="A2" s="53" t="s">
        <v>566</v>
      </c>
      <c r="B2" s="53" t="s">
        <v>259</v>
      </c>
      <c r="C2" s="62">
        <v>3.0</v>
      </c>
    </row>
    <row r="3" ht="15.75" customHeight="1">
      <c r="A3" s="58"/>
      <c r="B3" s="59" t="s">
        <v>555</v>
      </c>
      <c r="C3" s="63">
        <v>1.0</v>
      </c>
    </row>
    <row r="4" ht="15.75" customHeight="1">
      <c r="A4" s="58"/>
      <c r="B4" s="59" t="s">
        <v>209</v>
      </c>
      <c r="C4" s="63">
        <v>4.0</v>
      </c>
    </row>
    <row r="5" ht="15.75" customHeight="1">
      <c r="A5" s="58"/>
      <c r="B5" s="59" t="s">
        <v>557</v>
      </c>
      <c r="C5" s="63">
        <v>2.0</v>
      </c>
    </row>
    <row r="6" ht="15.75" customHeight="1">
      <c r="A6" s="58"/>
      <c r="B6" s="59" t="s">
        <v>247</v>
      </c>
      <c r="C6" s="63">
        <v>7.0</v>
      </c>
    </row>
    <row r="7" ht="15.75" customHeight="1">
      <c r="A7" s="58"/>
      <c r="B7" s="59" t="s">
        <v>562</v>
      </c>
      <c r="C7" s="63">
        <v>4.0</v>
      </c>
    </row>
    <row r="8" ht="15.75" customHeight="1">
      <c r="A8" s="53" t="s">
        <v>569</v>
      </c>
      <c r="B8" s="53" t="s">
        <v>259</v>
      </c>
      <c r="C8" s="62">
        <v>3.0</v>
      </c>
    </row>
    <row r="9" ht="15.75" customHeight="1">
      <c r="A9" s="58"/>
      <c r="B9" s="59" t="s">
        <v>555</v>
      </c>
      <c r="C9" s="63">
        <v>3.0</v>
      </c>
    </row>
    <row r="10" ht="15.75" customHeight="1">
      <c r="A10" s="58"/>
      <c r="B10" s="59" t="s">
        <v>209</v>
      </c>
      <c r="C10" s="63">
        <v>6.0</v>
      </c>
    </row>
    <row r="11" ht="15.75" customHeight="1">
      <c r="A11" s="58"/>
      <c r="B11" s="59" t="s">
        <v>557</v>
      </c>
      <c r="C11" s="63">
        <v>6.0</v>
      </c>
    </row>
    <row r="12" ht="15.75" customHeight="1">
      <c r="A12" s="58"/>
      <c r="B12" s="59" t="s">
        <v>247</v>
      </c>
      <c r="C12" s="63">
        <v>1.0</v>
      </c>
    </row>
    <row r="13" ht="15.75" customHeight="1">
      <c r="A13" s="58"/>
      <c r="B13" s="59" t="s">
        <v>562</v>
      </c>
      <c r="C13" s="63">
        <v>2.0</v>
      </c>
    </row>
    <row r="14" ht="15.75" customHeight="1">
      <c r="A14" s="51" t="s">
        <v>565</v>
      </c>
      <c r="B14" s="61"/>
      <c r="C14" s="64">
        <v>42.0</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65" t="s">
        <v>0</v>
      </c>
      <c r="B1" s="65" t="s">
        <v>150</v>
      </c>
      <c r="C1" s="65" t="s">
        <v>151</v>
      </c>
      <c r="D1" s="65" t="s">
        <v>153</v>
      </c>
      <c r="E1" s="65" t="s">
        <v>155</v>
      </c>
      <c r="F1" s="65" t="s">
        <v>157</v>
      </c>
      <c r="G1" s="65" t="s">
        <v>159</v>
      </c>
      <c r="H1" s="65" t="s">
        <v>160</v>
      </c>
      <c r="I1" s="65" t="s">
        <v>162</v>
      </c>
      <c r="J1" s="14" t="s">
        <v>572</v>
      </c>
      <c r="K1" s="14" t="s">
        <v>573</v>
      </c>
      <c r="L1" s="14" t="s">
        <v>574</v>
      </c>
    </row>
    <row r="2" ht="15.75" customHeight="1">
      <c r="A2" s="66">
        <v>31614.0</v>
      </c>
      <c r="B2" s="67" t="s">
        <v>192</v>
      </c>
      <c r="C2" s="67" t="s">
        <v>168</v>
      </c>
      <c r="D2" s="67" t="s">
        <v>194</v>
      </c>
      <c r="E2" s="67" t="s">
        <v>196</v>
      </c>
      <c r="F2" s="67" t="s">
        <v>170</v>
      </c>
      <c r="G2" s="67" t="s">
        <v>198</v>
      </c>
      <c r="H2" s="67" t="s">
        <v>186</v>
      </c>
      <c r="I2" s="67" t="s">
        <v>575</v>
      </c>
      <c r="J2" s="67" t="s">
        <v>576</v>
      </c>
      <c r="K2" s="67" t="s">
        <v>577</v>
      </c>
      <c r="L2" s="68" t="s">
        <v>578</v>
      </c>
    </row>
    <row r="3" ht="15.75" customHeight="1">
      <c r="A3" s="66">
        <v>323107.0</v>
      </c>
      <c r="B3" s="67" t="s">
        <v>167</v>
      </c>
      <c r="C3" s="67" t="s">
        <v>168</v>
      </c>
      <c r="D3" s="67" t="s">
        <v>194</v>
      </c>
      <c r="E3" s="67" t="s">
        <v>170</v>
      </c>
      <c r="F3" s="67" t="s">
        <v>170</v>
      </c>
      <c r="G3" s="67" t="s">
        <v>221</v>
      </c>
      <c r="H3" s="67" t="s">
        <v>222</v>
      </c>
      <c r="I3" s="67" t="s">
        <v>579</v>
      </c>
      <c r="J3" s="67" t="s">
        <v>580</v>
      </c>
      <c r="K3" s="67" t="s">
        <v>581</v>
      </c>
      <c r="L3" s="68" t="s">
        <v>578</v>
      </c>
    </row>
    <row r="4" ht="15.75" customHeight="1">
      <c r="A4" s="66">
        <v>194180.0</v>
      </c>
      <c r="B4" s="67" t="s">
        <v>274</v>
      </c>
      <c r="C4" s="67" t="s">
        <v>217</v>
      </c>
      <c r="D4" s="67" t="s">
        <v>276</v>
      </c>
      <c r="E4" s="67" t="s">
        <v>170</v>
      </c>
      <c r="F4" s="67" t="s">
        <v>170</v>
      </c>
      <c r="G4" s="67" t="s">
        <v>208</v>
      </c>
      <c r="H4" s="67" t="s">
        <v>209</v>
      </c>
      <c r="I4" s="67" t="s">
        <v>582</v>
      </c>
      <c r="J4" s="67" t="s">
        <v>580</v>
      </c>
      <c r="K4" s="67" t="s">
        <v>581</v>
      </c>
      <c r="L4" s="68" t="s">
        <v>578</v>
      </c>
    </row>
    <row r="5" ht="15.75" customHeight="1">
      <c r="A5" s="66">
        <v>323107.0</v>
      </c>
      <c r="B5" s="67" t="s">
        <v>167</v>
      </c>
      <c r="C5" s="67" t="s">
        <v>168</v>
      </c>
      <c r="D5" s="67" t="s">
        <v>194</v>
      </c>
      <c r="E5" s="67" t="s">
        <v>170</v>
      </c>
      <c r="F5" s="67" t="s">
        <v>170</v>
      </c>
      <c r="G5" s="67" t="s">
        <v>221</v>
      </c>
      <c r="H5" s="67" t="s">
        <v>222</v>
      </c>
      <c r="I5" s="67" t="s">
        <v>583</v>
      </c>
      <c r="J5" s="67" t="s">
        <v>584</v>
      </c>
      <c r="K5" s="67" t="s">
        <v>581</v>
      </c>
      <c r="L5" s="68" t="s">
        <v>578</v>
      </c>
    </row>
    <row r="6" ht="15.75" customHeight="1">
      <c r="A6" s="66">
        <v>240325.0</v>
      </c>
      <c r="B6" s="67" t="s">
        <v>216</v>
      </c>
      <c r="C6" s="67" t="s">
        <v>217</v>
      </c>
      <c r="D6" s="67" t="s">
        <v>194</v>
      </c>
      <c r="E6" s="67" t="s">
        <v>172</v>
      </c>
      <c r="F6" s="67" t="s">
        <v>170</v>
      </c>
      <c r="G6" s="67" t="s">
        <v>221</v>
      </c>
      <c r="H6" s="67" t="s">
        <v>222</v>
      </c>
      <c r="I6" s="67" t="s">
        <v>585</v>
      </c>
      <c r="J6" s="67" t="s">
        <v>586</v>
      </c>
      <c r="K6" s="67" t="s">
        <v>586</v>
      </c>
      <c r="L6" s="14" t="s">
        <v>587</v>
      </c>
    </row>
    <row r="7" ht="15.75" customHeight="1">
      <c r="A7" s="66">
        <v>323107.0</v>
      </c>
      <c r="B7" s="67" t="s">
        <v>167</v>
      </c>
      <c r="C7" s="67" t="s">
        <v>168</v>
      </c>
      <c r="D7" s="67" t="s">
        <v>194</v>
      </c>
      <c r="E7" s="67" t="s">
        <v>170</v>
      </c>
      <c r="F7" s="67" t="s">
        <v>170</v>
      </c>
      <c r="G7" s="67" t="s">
        <v>221</v>
      </c>
      <c r="H7" s="67" t="s">
        <v>222</v>
      </c>
      <c r="I7" s="67" t="s">
        <v>588</v>
      </c>
      <c r="J7" s="67" t="s">
        <v>589</v>
      </c>
      <c r="K7" s="67" t="s">
        <v>589</v>
      </c>
      <c r="L7" s="68" t="s">
        <v>578</v>
      </c>
    </row>
    <row r="8" ht="15.75" customHeight="1">
      <c r="A8" s="66">
        <v>340712.0</v>
      </c>
      <c r="B8" s="67" t="s">
        <v>167</v>
      </c>
      <c r="C8" s="67" t="s">
        <v>168</v>
      </c>
      <c r="D8" s="67" t="s">
        <v>320</v>
      </c>
      <c r="E8" s="67" t="s">
        <v>170</v>
      </c>
      <c r="F8" s="67" t="s">
        <v>170</v>
      </c>
      <c r="G8" s="67" t="s">
        <v>322</v>
      </c>
      <c r="H8" s="67" t="s">
        <v>175</v>
      </c>
      <c r="I8" s="67" t="s">
        <v>324</v>
      </c>
      <c r="J8" s="67" t="s">
        <v>590</v>
      </c>
      <c r="K8" s="67" t="s">
        <v>591</v>
      </c>
      <c r="L8" s="68" t="s">
        <v>578</v>
      </c>
    </row>
    <row r="9" ht="15.75" customHeight="1">
      <c r="A9" s="66">
        <v>31666.0</v>
      </c>
      <c r="B9" s="67" t="s">
        <v>167</v>
      </c>
      <c r="C9" s="67" t="s">
        <v>168</v>
      </c>
      <c r="D9" s="67" t="s">
        <v>194</v>
      </c>
      <c r="E9" s="67" t="s">
        <v>172</v>
      </c>
      <c r="F9" s="67" t="s">
        <v>170</v>
      </c>
      <c r="G9" s="67" t="s">
        <v>372</v>
      </c>
      <c r="H9" s="67" t="s">
        <v>186</v>
      </c>
      <c r="I9" s="67" t="s">
        <v>592</v>
      </c>
      <c r="J9" s="67" t="s">
        <v>593</v>
      </c>
      <c r="K9" s="67" t="s">
        <v>593</v>
      </c>
      <c r="L9" s="68" t="s">
        <v>578</v>
      </c>
    </row>
    <row r="10" ht="15.75" customHeight="1">
      <c r="A10" s="66">
        <v>25714.0</v>
      </c>
      <c r="B10" s="67" t="s">
        <v>203</v>
      </c>
      <c r="C10" s="67" t="s">
        <v>168</v>
      </c>
      <c r="D10" s="67" t="s">
        <v>194</v>
      </c>
      <c r="E10" s="67" t="s">
        <v>172</v>
      </c>
      <c r="F10" s="67" t="s">
        <v>170</v>
      </c>
      <c r="G10" s="67" t="s">
        <v>208</v>
      </c>
      <c r="H10" s="67" t="s">
        <v>209</v>
      </c>
      <c r="I10" s="67" t="s">
        <v>594</v>
      </c>
      <c r="J10" s="67" t="s">
        <v>595</v>
      </c>
      <c r="K10" s="67" t="s">
        <v>595</v>
      </c>
      <c r="L10" s="14" t="s">
        <v>596</v>
      </c>
    </row>
    <row r="11" ht="15.75" customHeight="1">
      <c r="A11" s="66">
        <v>11247.0</v>
      </c>
      <c r="B11" s="67" t="s">
        <v>203</v>
      </c>
      <c r="C11" s="67" t="s">
        <v>168</v>
      </c>
      <c r="D11" s="67" t="s">
        <v>194</v>
      </c>
      <c r="E11" s="67" t="s">
        <v>206</v>
      </c>
      <c r="F11" s="67" t="s">
        <v>170</v>
      </c>
      <c r="G11" s="67" t="s">
        <v>208</v>
      </c>
      <c r="H11" s="67" t="s">
        <v>209</v>
      </c>
      <c r="I11" s="67" t="s">
        <v>597</v>
      </c>
      <c r="J11" s="67" t="s">
        <v>598</v>
      </c>
      <c r="K11" s="67" t="s">
        <v>599</v>
      </c>
      <c r="L11" s="68" t="s">
        <v>600</v>
      </c>
    </row>
    <row r="12" ht="15.75" customHeight="1">
      <c r="A12" s="66">
        <v>11247.0</v>
      </c>
      <c r="B12" s="67" t="s">
        <v>203</v>
      </c>
      <c r="C12" s="67" t="s">
        <v>168</v>
      </c>
      <c r="D12" s="67" t="s">
        <v>194</v>
      </c>
      <c r="E12" s="67" t="s">
        <v>206</v>
      </c>
      <c r="F12" s="67" t="s">
        <v>170</v>
      </c>
      <c r="G12" s="67" t="s">
        <v>208</v>
      </c>
      <c r="H12" s="67" t="s">
        <v>209</v>
      </c>
      <c r="I12" s="67" t="s">
        <v>601</v>
      </c>
      <c r="J12" s="67" t="s">
        <v>598</v>
      </c>
      <c r="K12" s="67" t="s">
        <v>599</v>
      </c>
      <c r="L12" s="68" t="s">
        <v>600</v>
      </c>
    </row>
    <row r="13" ht="15.75" customHeight="1">
      <c r="A13" s="66">
        <v>11247.0</v>
      </c>
      <c r="B13" s="67" t="s">
        <v>203</v>
      </c>
      <c r="C13" s="67" t="s">
        <v>168</v>
      </c>
      <c r="D13" s="67" t="s">
        <v>194</v>
      </c>
      <c r="E13" s="67" t="s">
        <v>206</v>
      </c>
      <c r="F13" s="67" t="s">
        <v>170</v>
      </c>
      <c r="G13" s="67" t="s">
        <v>208</v>
      </c>
      <c r="H13" s="67" t="s">
        <v>209</v>
      </c>
      <c r="I13" s="67" t="s">
        <v>602</v>
      </c>
      <c r="J13" s="67" t="s">
        <v>598</v>
      </c>
      <c r="K13" s="67" t="s">
        <v>599</v>
      </c>
      <c r="L13" s="68" t="s">
        <v>600</v>
      </c>
    </row>
    <row r="14" ht="15.75" customHeight="1">
      <c r="A14" s="66">
        <v>403583.0</v>
      </c>
      <c r="B14" s="67" t="s">
        <v>203</v>
      </c>
      <c r="C14" s="67" t="s">
        <v>168</v>
      </c>
      <c r="D14" s="67" t="s">
        <v>194</v>
      </c>
      <c r="E14" s="67" t="s">
        <v>206</v>
      </c>
      <c r="F14" s="67" t="s">
        <v>170</v>
      </c>
      <c r="G14" s="67" t="s">
        <v>208</v>
      </c>
      <c r="H14" s="67" t="s">
        <v>209</v>
      </c>
      <c r="I14" s="67" t="s">
        <v>603</v>
      </c>
      <c r="J14" s="67" t="s">
        <v>598</v>
      </c>
      <c r="K14" s="67" t="s">
        <v>599</v>
      </c>
      <c r="L14" s="68" t="s">
        <v>600</v>
      </c>
    </row>
    <row r="15" ht="15.75" customHeight="1">
      <c r="A15" s="66">
        <v>403583.0</v>
      </c>
      <c r="B15" s="67" t="s">
        <v>203</v>
      </c>
      <c r="C15" s="67" t="s">
        <v>168</v>
      </c>
      <c r="D15" s="67" t="s">
        <v>194</v>
      </c>
      <c r="E15" s="67" t="s">
        <v>206</v>
      </c>
      <c r="F15" s="67" t="s">
        <v>170</v>
      </c>
      <c r="G15" s="67" t="s">
        <v>208</v>
      </c>
      <c r="H15" s="67" t="s">
        <v>209</v>
      </c>
      <c r="I15" s="67" t="s">
        <v>604</v>
      </c>
      <c r="J15" s="67" t="s">
        <v>598</v>
      </c>
      <c r="K15" s="67" t="s">
        <v>599</v>
      </c>
      <c r="L15" s="68" t="s">
        <v>600</v>
      </c>
    </row>
    <row r="16" ht="15.75" customHeight="1">
      <c r="A16" s="66">
        <v>403583.0</v>
      </c>
      <c r="B16" s="67" t="s">
        <v>203</v>
      </c>
      <c r="C16" s="67" t="s">
        <v>168</v>
      </c>
      <c r="D16" s="67" t="s">
        <v>194</v>
      </c>
      <c r="E16" s="67" t="s">
        <v>206</v>
      </c>
      <c r="F16" s="67" t="s">
        <v>170</v>
      </c>
      <c r="G16" s="67" t="s">
        <v>208</v>
      </c>
      <c r="H16" s="67" t="s">
        <v>209</v>
      </c>
      <c r="I16" s="67" t="s">
        <v>605</v>
      </c>
      <c r="J16" s="67" t="s">
        <v>598</v>
      </c>
      <c r="K16" s="67" t="s">
        <v>599</v>
      </c>
      <c r="L16" s="68" t="s">
        <v>600</v>
      </c>
    </row>
    <row r="17" ht="15.75" customHeight="1">
      <c r="A17" s="66">
        <v>41750.0</v>
      </c>
      <c r="B17" s="67" t="s">
        <v>265</v>
      </c>
      <c r="C17" s="67" t="s">
        <v>217</v>
      </c>
      <c r="D17" s="67" t="s">
        <v>170</v>
      </c>
      <c r="E17" s="67" t="s">
        <v>170</v>
      </c>
      <c r="F17" s="67" t="s">
        <v>170</v>
      </c>
      <c r="G17" s="67" t="s">
        <v>208</v>
      </c>
      <c r="H17" s="67" t="s">
        <v>209</v>
      </c>
      <c r="I17" s="67" t="s">
        <v>606</v>
      </c>
      <c r="J17" s="67" t="s">
        <v>607</v>
      </c>
      <c r="K17" s="67" t="s">
        <v>608</v>
      </c>
      <c r="L17" s="14" t="s">
        <v>609</v>
      </c>
    </row>
    <row r="18" ht="15.75" customHeight="1">
      <c r="A18" s="66">
        <v>14189.0</v>
      </c>
      <c r="B18" s="67" t="s">
        <v>265</v>
      </c>
      <c r="C18" s="67" t="s">
        <v>217</v>
      </c>
      <c r="D18" s="67" t="s">
        <v>194</v>
      </c>
      <c r="E18" s="67" t="s">
        <v>170</v>
      </c>
      <c r="F18" s="67" t="s">
        <v>170</v>
      </c>
      <c r="G18" s="67" t="s">
        <v>246</v>
      </c>
      <c r="H18" s="67" t="s">
        <v>247</v>
      </c>
      <c r="I18" s="67" t="s">
        <v>610</v>
      </c>
      <c r="J18" s="67" t="s">
        <v>611</v>
      </c>
      <c r="K18" s="67" t="s">
        <v>612</v>
      </c>
      <c r="L18" s="14" t="s">
        <v>613</v>
      </c>
    </row>
    <row r="19" ht="15.75" customHeight="1">
      <c r="A19" s="66">
        <v>396625.0</v>
      </c>
      <c r="B19" s="67" t="s">
        <v>203</v>
      </c>
      <c r="C19" s="67" t="s">
        <v>168</v>
      </c>
      <c r="D19" s="67" t="s">
        <v>170</v>
      </c>
      <c r="E19" s="67" t="s">
        <v>170</v>
      </c>
      <c r="F19" s="67" t="s">
        <v>170</v>
      </c>
      <c r="G19" s="67" t="s">
        <v>208</v>
      </c>
      <c r="H19" s="67" t="s">
        <v>209</v>
      </c>
      <c r="I19" s="67" t="s">
        <v>614</v>
      </c>
      <c r="J19" s="67" t="s">
        <v>615</v>
      </c>
      <c r="K19" s="67" t="s">
        <v>616</v>
      </c>
      <c r="L19" s="68" t="s">
        <v>600</v>
      </c>
    </row>
    <row r="20" ht="15.75" customHeight="1">
      <c r="A20" s="66">
        <v>396625.0</v>
      </c>
      <c r="B20" s="67" t="s">
        <v>203</v>
      </c>
      <c r="C20" s="67" t="s">
        <v>168</v>
      </c>
      <c r="D20" s="67" t="s">
        <v>170</v>
      </c>
      <c r="E20" s="67" t="s">
        <v>170</v>
      </c>
      <c r="F20" s="67" t="s">
        <v>170</v>
      </c>
      <c r="G20" s="67" t="s">
        <v>208</v>
      </c>
      <c r="H20" s="67" t="s">
        <v>209</v>
      </c>
      <c r="I20" s="67" t="s">
        <v>617</v>
      </c>
      <c r="J20" s="67" t="s">
        <v>615</v>
      </c>
      <c r="K20" s="67" t="s">
        <v>616</v>
      </c>
      <c r="L20" s="68" t="s">
        <v>600</v>
      </c>
    </row>
    <row r="21" ht="15.75" customHeight="1">
      <c r="A21" s="66">
        <v>396625.0</v>
      </c>
      <c r="B21" s="67" t="s">
        <v>203</v>
      </c>
      <c r="C21" s="67" t="s">
        <v>168</v>
      </c>
      <c r="D21" s="67" t="s">
        <v>170</v>
      </c>
      <c r="E21" s="67" t="s">
        <v>170</v>
      </c>
      <c r="F21" s="67" t="s">
        <v>170</v>
      </c>
      <c r="G21" s="67" t="s">
        <v>208</v>
      </c>
      <c r="H21" s="67" t="s">
        <v>209</v>
      </c>
      <c r="I21" s="67" t="s">
        <v>618</v>
      </c>
      <c r="J21" s="67" t="s">
        <v>615</v>
      </c>
      <c r="K21" s="67" t="s">
        <v>616</v>
      </c>
      <c r="L21" s="68" t="s">
        <v>600</v>
      </c>
    </row>
    <row r="22" ht="15.75" customHeight="1">
      <c r="A22" s="66">
        <v>396625.0</v>
      </c>
      <c r="B22" s="67" t="s">
        <v>203</v>
      </c>
      <c r="C22" s="67" t="s">
        <v>168</v>
      </c>
      <c r="D22" s="67" t="s">
        <v>170</v>
      </c>
      <c r="E22" s="67" t="s">
        <v>170</v>
      </c>
      <c r="F22" s="67" t="s">
        <v>170</v>
      </c>
      <c r="G22" s="67" t="s">
        <v>208</v>
      </c>
      <c r="H22" s="67" t="s">
        <v>209</v>
      </c>
      <c r="I22" s="67" t="s">
        <v>619</v>
      </c>
      <c r="J22" s="67" t="s">
        <v>615</v>
      </c>
      <c r="K22" s="67" t="s">
        <v>616</v>
      </c>
      <c r="L22" s="68" t="s">
        <v>600</v>
      </c>
    </row>
    <row r="23" ht="15.75" customHeight="1">
      <c r="A23" s="66">
        <v>31614.0</v>
      </c>
      <c r="B23" s="67" t="s">
        <v>192</v>
      </c>
      <c r="C23" s="67" t="s">
        <v>168</v>
      </c>
      <c r="D23" s="67" t="s">
        <v>194</v>
      </c>
      <c r="E23" s="67" t="s">
        <v>196</v>
      </c>
      <c r="F23" s="67" t="s">
        <v>170</v>
      </c>
      <c r="G23" s="67" t="s">
        <v>198</v>
      </c>
      <c r="H23" s="67" t="s">
        <v>186</v>
      </c>
      <c r="I23" s="67" t="s">
        <v>620</v>
      </c>
      <c r="J23" s="67" t="s">
        <v>621</v>
      </c>
      <c r="K23" s="67" t="s">
        <v>621</v>
      </c>
      <c r="L23" s="14" t="s">
        <v>622</v>
      </c>
      <c r="M23" s="69"/>
    </row>
    <row r="24" ht="15.75" customHeight="1">
      <c r="A24" s="66">
        <v>26673.0</v>
      </c>
      <c r="B24" s="67" t="s">
        <v>243</v>
      </c>
      <c r="C24" s="67" t="s">
        <v>217</v>
      </c>
      <c r="D24" s="67" t="s">
        <v>194</v>
      </c>
      <c r="E24" s="67" t="s">
        <v>170</v>
      </c>
      <c r="F24" s="67" t="s">
        <v>256</v>
      </c>
      <c r="G24" s="67" t="s">
        <v>246</v>
      </c>
      <c r="H24" s="67" t="s">
        <v>247</v>
      </c>
      <c r="I24" s="67" t="s">
        <v>623</v>
      </c>
      <c r="J24" s="67" t="s">
        <v>624</v>
      </c>
      <c r="K24" s="67" t="s">
        <v>608</v>
      </c>
      <c r="L24" s="14" t="s">
        <v>609</v>
      </c>
      <c r="M24" s="69"/>
    </row>
    <row r="25" ht="15.75" customHeight="1">
      <c r="A25" s="66">
        <v>22001.0</v>
      </c>
      <c r="B25" s="67" t="s">
        <v>243</v>
      </c>
      <c r="C25" s="67" t="s">
        <v>217</v>
      </c>
      <c r="D25" s="67" t="s">
        <v>170</v>
      </c>
      <c r="E25" s="67" t="s">
        <v>170</v>
      </c>
      <c r="F25" s="67" t="s">
        <v>170</v>
      </c>
      <c r="G25" s="67" t="s">
        <v>322</v>
      </c>
      <c r="H25" s="67" t="s">
        <v>175</v>
      </c>
      <c r="I25" s="67" t="s">
        <v>625</v>
      </c>
      <c r="J25" s="67" t="s">
        <v>626</v>
      </c>
      <c r="K25" s="67" t="s">
        <v>627</v>
      </c>
      <c r="L25" s="68" t="s">
        <v>600</v>
      </c>
      <c r="M25" s="69"/>
    </row>
    <row r="26" ht="15.75" customHeight="1">
      <c r="A26" s="66">
        <v>232488.0</v>
      </c>
      <c r="B26" s="67" t="s">
        <v>265</v>
      </c>
      <c r="C26" s="67" t="s">
        <v>217</v>
      </c>
      <c r="D26" s="67" t="s">
        <v>194</v>
      </c>
      <c r="E26" s="67" t="s">
        <v>196</v>
      </c>
      <c r="F26" s="67" t="s">
        <v>170</v>
      </c>
      <c r="G26" s="67" t="s">
        <v>446</v>
      </c>
      <c r="H26" s="67" t="s">
        <v>186</v>
      </c>
      <c r="I26" s="67" t="s">
        <v>628</v>
      </c>
      <c r="J26" s="67" t="s">
        <v>629</v>
      </c>
      <c r="K26" s="67" t="s">
        <v>630</v>
      </c>
      <c r="L26" s="14" t="s">
        <v>613</v>
      </c>
      <c r="M26" s="69"/>
    </row>
    <row r="27" ht="15.75" customHeight="1">
      <c r="A27" s="66">
        <v>22001.0</v>
      </c>
      <c r="B27" s="67" t="s">
        <v>243</v>
      </c>
      <c r="C27" s="67" t="s">
        <v>217</v>
      </c>
      <c r="D27" s="67" t="s">
        <v>170</v>
      </c>
      <c r="E27" s="67" t="s">
        <v>170</v>
      </c>
      <c r="F27" s="67" t="s">
        <v>170</v>
      </c>
      <c r="G27" s="67" t="s">
        <v>322</v>
      </c>
      <c r="H27" s="67" t="s">
        <v>175</v>
      </c>
      <c r="I27" s="67" t="s">
        <v>631</v>
      </c>
      <c r="J27" s="67" t="s">
        <v>632</v>
      </c>
      <c r="K27" s="67" t="s">
        <v>633</v>
      </c>
      <c r="L27" s="14" t="s">
        <v>587</v>
      </c>
      <c r="M27" s="69"/>
    </row>
    <row r="28" ht="15.75" customHeight="1">
      <c r="A28" s="66">
        <v>31666.0</v>
      </c>
      <c r="B28" s="67" t="s">
        <v>167</v>
      </c>
      <c r="C28" s="67" t="s">
        <v>168</v>
      </c>
      <c r="D28" s="67" t="s">
        <v>194</v>
      </c>
      <c r="E28" s="67" t="s">
        <v>172</v>
      </c>
      <c r="F28" s="67" t="s">
        <v>170</v>
      </c>
      <c r="G28" s="67" t="s">
        <v>372</v>
      </c>
      <c r="H28" s="67" t="s">
        <v>186</v>
      </c>
      <c r="I28" s="67" t="s">
        <v>634</v>
      </c>
      <c r="J28" s="67" t="s">
        <v>635</v>
      </c>
      <c r="K28" s="67" t="s">
        <v>636</v>
      </c>
      <c r="L28" s="14" t="s">
        <v>637</v>
      </c>
      <c r="M28" s="69"/>
    </row>
    <row r="29" ht="15.75" customHeight="1">
      <c r="A29" s="66">
        <v>31666.0</v>
      </c>
      <c r="B29" s="67" t="s">
        <v>167</v>
      </c>
      <c r="C29" s="67" t="s">
        <v>168</v>
      </c>
      <c r="D29" s="67" t="s">
        <v>194</v>
      </c>
      <c r="E29" s="67" t="s">
        <v>172</v>
      </c>
      <c r="F29" s="67" t="s">
        <v>170</v>
      </c>
      <c r="G29" s="67" t="s">
        <v>372</v>
      </c>
      <c r="H29" s="67" t="s">
        <v>186</v>
      </c>
      <c r="I29" s="67" t="s">
        <v>638</v>
      </c>
      <c r="J29" s="67" t="s">
        <v>639</v>
      </c>
      <c r="K29" s="67" t="s">
        <v>636</v>
      </c>
      <c r="L29" s="14" t="s">
        <v>637</v>
      </c>
      <c r="M29" s="69"/>
    </row>
    <row r="30" ht="15.75" customHeight="1">
      <c r="A30" s="66">
        <v>31614.0</v>
      </c>
      <c r="B30" s="67" t="s">
        <v>192</v>
      </c>
      <c r="C30" s="67" t="s">
        <v>168</v>
      </c>
      <c r="D30" s="67" t="s">
        <v>194</v>
      </c>
      <c r="E30" s="67" t="s">
        <v>196</v>
      </c>
      <c r="F30" s="67" t="s">
        <v>170</v>
      </c>
      <c r="G30" s="67" t="s">
        <v>198</v>
      </c>
      <c r="H30" s="67" t="s">
        <v>186</v>
      </c>
      <c r="I30" s="67" t="s">
        <v>640</v>
      </c>
      <c r="J30" s="67" t="s">
        <v>641</v>
      </c>
      <c r="K30" s="67" t="s">
        <v>581</v>
      </c>
      <c r="L30" s="68" t="s">
        <v>578</v>
      </c>
    </row>
    <row r="31" ht="15.75" customHeight="1">
      <c r="A31" s="66">
        <v>354302.0</v>
      </c>
      <c r="B31" s="67" t="s">
        <v>167</v>
      </c>
      <c r="C31" s="67" t="s">
        <v>168</v>
      </c>
      <c r="D31" s="67" t="s">
        <v>170</v>
      </c>
      <c r="E31" s="67" t="s">
        <v>170</v>
      </c>
      <c r="F31" s="67" t="s">
        <v>170</v>
      </c>
      <c r="G31" s="67" t="s">
        <v>299</v>
      </c>
      <c r="H31" s="67" t="s">
        <v>259</v>
      </c>
      <c r="I31" s="67" t="s">
        <v>642</v>
      </c>
      <c r="J31" s="67" t="s">
        <v>643</v>
      </c>
      <c r="K31" s="67" t="s">
        <v>581</v>
      </c>
      <c r="L31" s="68" t="s">
        <v>578</v>
      </c>
    </row>
    <row r="32" ht="15.75" customHeight="1">
      <c r="A32" s="66">
        <v>25714.0</v>
      </c>
      <c r="B32" s="67" t="s">
        <v>203</v>
      </c>
      <c r="C32" s="67" t="s">
        <v>168</v>
      </c>
      <c r="D32" s="67" t="s">
        <v>194</v>
      </c>
      <c r="E32" s="67" t="s">
        <v>172</v>
      </c>
      <c r="F32" s="67" t="s">
        <v>170</v>
      </c>
      <c r="G32" s="67" t="s">
        <v>208</v>
      </c>
      <c r="H32" s="67" t="s">
        <v>209</v>
      </c>
      <c r="I32" s="67" t="s">
        <v>644</v>
      </c>
      <c r="J32" s="67" t="s">
        <v>645</v>
      </c>
      <c r="K32" s="67" t="s">
        <v>645</v>
      </c>
      <c r="L32" s="14" t="s">
        <v>637</v>
      </c>
    </row>
    <row r="33" ht="15.75" customHeight="1">
      <c r="A33" s="66">
        <v>25714.0</v>
      </c>
      <c r="B33" s="67" t="s">
        <v>203</v>
      </c>
      <c r="C33" s="67" t="s">
        <v>168</v>
      </c>
      <c r="D33" s="67" t="s">
        <v>194</v>
      </c>
      <c r="E33" s="67" t="s">
        <v>172</v>
      </c>
      <c r="F33" s="67" t="s">
        <v>170</v>
      </c>
      <c r="G33" s="67" t="s">
        <v>208</v>
      </c>
      <c r="H33" s="67" t="s">
        <v>209</v>
      </c>
      <c r="I33" s="67" t="s">
        <v>646</v>
      </c>
      <c r="J33" s="67" t="s">
        <v>647</v>
      </c>
      <c r="K33" s="67" t="s">
        <v>648</v>
      </c>
      <c r="L33" s="14" t="s">
        <v>613</v>
      </c>
    </row>
    <row r="34" ht="15.75" customHeight="1">
      <c r="A34" s="66">
        <v>232488.0</v>
      </c>
      <c r="B34" s="67" t="s">
        <v>265</v>
      </c>
      <c r="C34" s="67" t="s">
        <v>217</v>
      </c>
      <c r="D34" s="67" t="s">
        <v>194</v>
      </c>
      <c r="E34" s="67" t="s">
        <v>196</v>
      </c>
      <c r="F34" s="67" t="s">
        <v>170</v>
      </c>
      <c r="G34" s="67" t="s">
        <v>446</v>
      </c>
      <c r="H34" s="67" t="s">
        <v>186</v>
      </c>
      <c r="I34" s="67" t="s">
        <v>649</v>
      </c>
      <c r="J34" s="67" t="s">
        <v>650</v>
      </c>
      <c r="K34" s="67" t="s">
        <v>651</v>
      </c>
      <c r="L34" s="14" t="s">
        <v>596</v>
      </c>
    </row>
    <row r="35" ht="15.75" customHeight="1">
      <c r="A35" s="66">
        <v>354302.0</v>
      </c>
      <c r="B35" s="67" t="s">
        <v>167</v>
      </c>
      <c r="C35" s="67" t="s">
        <v>168</v>
      </c>
      <c r="D35" s="67" t="s">
        <v>170</v>
      </c>
      <c r="E35" s="67" t="s">
        <v>170</v>
      </c>
      <c r="F35" s="67" t="s">
        <v>170</v>
      </c>
      <c r="G35" s="67" t="s">
        <v>299</v>
      </c>
      <c r="H35" s="67" t="s">
        <v>259</v>
      </c>
      <c r="I35" s="67" t="s">
        <v>652</v>
      </c>
      <c r="J35" s="67" t="s">
        <v>653</v>
      </c>
      <c r="K35" s="67" t="s">
        <v>581</v>
      </c>
      <c r="L35" s="68" t="s">
        <v>578</v>
      </c>
    </row>
    <row r="36" ht="15.75" customHeight="1">
      <c r="A36" s="66">
        <v>232488.0</v>
      </c>
      <c r="B36" s="67" t="s">
        <v>265</v>
      </c>
      <c r="C36" s="67" t="s">
        <v>217</v>
      </c>
      <c r="D36" s="67" t="s">
        <v>194</v>
      </c>
      <c r="E36" s="67" t="s">
        <v>196</v>
      </c>
      <c r="F36" s="67" t="s">
        <v>170</v>
      </c>
      <c r="G36" s="67" t="s">
        <v>446</v>
      </c>
      <c r="H36" s="67" t="s">
        <v>186</v>
      </c>
      <c r="I36" s="67" t="s">
        <v>654</v>
      </c>
      <c r="J36" s="67" t="s">
        <v>653</v>
      </c>
      <c r="K36" s="67" t="s">
        <v>581</v>
      </c>
      <c r="L36" s="68" t="s">
        <v>578</v>
      </c>
    </row>
    <row r="37" ht="15.75" customHeight="1">
      <c r="A37" s="66">
        <v>127213.0</v>
      </c>
      <c r="B37" s="67" t="s">
        <v>274</v>
      </c>
      <c r="C37" s="67" t="s">
        <v>217</v>
      </c>
      <c r="D37" s="67" t="s">
        <v>170</v>
      </c>
      <c r="E37" s="67" t="s">
        <v>170</v>
      </c>
      <c r="F37" s="67" t="s">
        <v>287</v>
      </c>
      <c r="G37" s="67" t="s">
        <v>289</v>
      </c>
      <c r="H37" s="67" t="s">
        <v>247</v>
      </c>
      <c r="I37" s="67" t="s">
        <v>655</v>
      </c>
      <c r="J37" s="67" t="s">
        <v>656</v>
      </c>
      <c r="K37" s="67" t="s">
        <v>657</v>
      </c>
      <c r="L37" s="14" t="s">
        <v>637</v>
      </c>
    </row>
    <row r="38" ht="15.75" customHeight="1">
      <c r="A38" s="66">
        <v>127213.0</v>
      </c>
      <c r="B38" s="67" t="s">
        <v>274</v>
      </c>
      <c r="C38" s="67" t="s">
        <v>217</v>
      </c>
      <c r="D38" s="67" t="s">
        <v>170</v>
      </c>
      <c r="E38" s="67" t="s">
        <v>170</v>
      </c>
      <c r="F38" s="67" t="s">
        <v>287</v>
      </c>
      <c r="G38" s="67" t="s">
        <v>289</v>
      </c>
      <c r="H38" s="67" t="s">
        <v>247</v>
      </c>
      <c r="I38" s="67" t="s">
        <v>658</v>
      </c>
      <c r="J38" s="67" t="s">
        <v>659</v>
      </c>
      <c r="K38" s="67" t="s">
        <v>657</v>
      </c>
      <c r="L38" s="14" t="s">
        <v>637</v>
      </c>
    </row>
    <row r="39" ht="15.75" customHeight="1">
      <c r="A39" s="66">
        <v>127213.0</v>
      </c>
      <c r="B39" s="67" t="s">
        <v>274</v>
      </c>
      <c r="C39" s="67" t="s">
        <v>217</v>
      </c>
      <c r="D39" s="67" t="s">
        <v>170</v>
      </c>
      <c r="E39" s="67" t="s">
        <v>170</v>
      </c>
      <c r="F39" s="67" t="s">
        <v>287</v>
      </c>
      <c r="G39" s="67" t="s">
        <v>289</v>
      </c>
      <c r="H39" s="67" t="s">
        <v>247</v>
      </c>
      <c r="I39" s="67" t="s">
        <v>660</v>
      </c>
      <c r="J39" s="67" t="s">
        <v>659</v>
      </c>
      <c r="K39" s="67" t="s">
        <v>657</v>
      </c>
      <c r="L39" s="14" t="s">
        <v>637</v>
      </c>
      <c r="M39" s="69"/>
    </row>
    <row r="40" ht="15.75" customHeight="1">
      <c r="A40" s="66">
        <v>231273.0</v>
      </c>
      <c r="B40" s="67" t="s">
        <v>216</v>
      </c>
      <c r="C40" s="67" t="s">
        <v>217</v>
      </c>
      <c r="D40" s="67" t="s">
        <v>170</v>
      </c>
      <c r="E40" s="67" t="s">
        <v>254</v>
      </c>
      <c r="F40" s="67" t="s">
        <v>256</v>
      </c>
      <c r="G40" s="67" t="s">
        <v>258</v>
      </c>
      <c r="H40" s="67" t="s">
        <v>259</v>
      </c>
      <c r="I40" s="67" t="s">
        <v>661</v>
      </c>
      <c r="J40" s="67" t="s">
        <v>662</v>
      </c>
      <c r="K40" s="67" t="s">
        <v>663</v>
      </c>
      <c r="L40" s="14" t="s">
        <v>664</v>
      </c>
    </row>
    <row r="41" ht="15.75" customHeight="1">
      <c r="A41" s="66">
        <v>7953.0</v>
      </c>
      <c r="B41" s="67" t="s">
        <v>167</v>
      </c>
      <c r="C41" s="67" t="s">
        <v>168</v>
      </c>
      <c r="D41" s="67" t="s">
        <v>194</v>
      </c>
      <c r="E41" s="67" t="s">
        <v>196</v>
      </c>
      <c r="F41" s="67" t="s">
        <v>170</v>
      </c>
      <c r="G41" s="67" t="s">
        <v>299</v>
      </c>
      <c r="H41" s="67" t="s">
        <v>259</v>
      </c>
      <c r="I41" s="67" t="s">
        <v>665</v>
      </c>
      <c r="J41" s="67" t="s">
        <v>666</v>
      </c>
      <c r="K41" s="67" t="s">
        <v>667</v>
      </c>
      <c r="L41" s="14" t="s">
        <v>622</v>
      </c>
    </row>
    <row r="42" ht="15.75" customHeight="1">
      <c r="A42" s="66">
        <v>240325.0</v>
      </c>
      <c r="B42" s="67" t="s">
        <v>216</v>
      </c>
      <c r="C42" s="67" t="s">
        <v>217</v>
      </c>
      <c r="D42" s="67" t="s">
        <v>194</v>
      </c>
      <c r="E42" s="67" t="s">
        <v>172</v>
      </c>
      <c r="F42" s="67" t="s">
        <v>170</v>
      </c>
      <c r="G42" s="67" t="s">
        <v>221</v>
      </c>
      <c r="H42" s="67" t="s">
        <v>222</v>
      </c>
      <c r="I42" s="67" t="s">
        <v>668</v>
      </c>
      <c r="J42" s="67" t="s">
        <v>669</v>
      </c>
      <c r="K42" s="67" t="s">
        <v>667</v>
      </c>
      <c r="L42" s="14" t="s">
        <v>622</v>
      </c>
    </row>
    <row r="43" ht="15.75" customHeight="1">
      <c r="A43" s="66">
        <v>41750.0</v>
      </c>
      <c r="B43" s="67" t="s">
        <v>265</v>
      </c>
      <c r="C43" s="67" t="s">
        <v>217</v>
      </c>
      <c r="D43" s="67" t="s">
        <v>170</v>
      </c>
      <c r="E43" s="67" t="s">
        <v>170</v>
      </c>
      <c r="F43" s="67" t="s">
        <v>170</v>
      </c>
      <c r="G43" s="67" t="s">
        <v>208</v>
      </c>
      <c r="H43" s="67" t="s">
        <v>209</v>
      </c>
      <c r="I43" s="67" t="s">
        <v>670</v>
      </c>
      <c r="J43" s="67" t="s">
        <v>671</v>
      </c>
      <c r="K43" s="67" t="s">
        <v>671</v>
      </c>
      <c r="L43" s="68" t="s">
        <v>600</v>
      </c>
    </row>
    <row r="44" ht="15.75" customHeight="1">
      <c r="A44" s="66">
        <v>34041.0</v>
      </c>
      <c r="B44" s="67" t="s">
        <v>422</v>
      </c>
      <c r="C44" s="67" t="s">
        <v>217</v>
      </c>
      <c r="D44" s="67" t="s">
        <v>170</v>
      </c>
      <c r="E44" s="67" t="s">
        <v>170</v>
      </c>
      <c r="F44" s="67" t="s">
        <v>170</v>
      </c>
      <c r="G44" s="67" t="s">
        <v>174</v>
      </c>
      <c r="H44" s="67" t="s">
        <v>175</v>
      </c>
      <c r="I44" s="67" t="s">
        <v>672</v>
      </c>
      <c r="J44" s="70" t="s">
        <v>673</v>
      </c>
      <c r="K44" s="67" t="s">
        <v>674</v>
      </c>
      <c r="L44" s="14" t="s">
        <v>637</v>
      </c>
    </row>
    <row r="45" ht="15.75" customHeight="1">
      <c r="A45" s="66">
        <v>31614.0</v>
      </c>
      <c r="B45" s="67" t="s">
        <v>192</v>
      </c>
      <c r="C45" s="67" t="s">
        <v>168</v>
      </c>
      <c r="D45" s="67" t="s">
        <v>194</v>
      </c>
      <c r="E45" s="67" t="s">
        <v>196</v>
      </c>
      <c r="F45" s="67" t="s">
        <v>170</v>
      </c>
      <c r="G45" s="67" t="s">
        <v>198</v>
      </c>
      <c r="H45" s="67" t="s">
        <v>186</v>
      </c>
      <c r="I45" s="67" t="s">
        <v>675</v>
      </c>
      <c r="J45" s="67" t="s">
        <v>676</v>
      </c>
      <c r="K45" s="67" t="s">
        <v>577</v>
      </c>
      <c r="L45" s="68" t="s">
        <v>578</v>
      </c>
    </row>
    <row r="46" ht="15.75" customHeight="1">
      <c r="A46" s="66">
        <v>232488.0</v>
      </c>
      <c r="B46" s="67" t="s">
        <v>265</v>
      </c>
      <c r="C46" s="67" t="s">
        <v>217</v>
      </c>
      <c r="D46" s="67" t="s">
        <v>194</v>
      </c>
      <c r="E46" s="67" t="s">
        <v>196</v>
      </c>
      <c r="F46" s="67" t="s">
        <v>170</v>
      </c>
      <c r="G46" s="67" t="s">
        <v>446</v>
      </c>
      <c r="H46" s="67" t="s">
        <v>186</v>
      </c>
      <c r="I46" s="67" t="s">
        <v>677</v>
      </c>
      <c r="J46" s="67" t="s">
        <v>678</v>
      </c>
      <c r="K46" s="67" t="s">
        <v>581</v>
      </c>
      <c r="L46" s="68" t="s">
        <v>578</v>
      </c>
    </row>
    <row r="47" ht="15.75" customHeight="1">
      <c r="A47" s="66">
        <v>26673.0</v>
      </c>
      <c r="B47" s="67" t="s">
        <v>243</v>
      </c>
      <c r="C47" s="67" t="s">
        <v>217</v>
      </c>
      <c r="D47" s="67" t="s">
        <v>194</v>
      </c>
      <c r="E47" s="67" t="s">
        <v>170</v>
      </c>
      <c r="F47" s="67" t="s">
        <v>256</v>
      </c>
      <c r="G47" s="67" t="s">
        <v>246</v>
      </c>
      <c r="H47" s="67" t="s">
        <v>247</v>
      </c>
      <c r="I47" s="67" t="s">
        <v>679</v>
      </c>
      <c r="J47" s="67" t="s">
        <v>680</v>
      </c>
      <c r="K47" s="67" t="s">
        <v>681</v>
      </c>
      <c r="L47" s="14" t="s">
        <v>613</v>
      </c>
    </row>
    <row r="48" ht="15.75" customHeight="1">
      <c r="A48" s="66">
        <v>22001.0</v>
      </c>
      <c r="B48" s="67" t="s">
        <v>243</v>
      </c>
      <c r="C48" s="67" t="s">
        <v>217</v>
      </c>
      <c r="D48" s="67" t="s">
        <v>170</v>
      </c>
      <c r="E48" s="67" t="s">
        <v>170</v>
      </c>
      <c r="F48" s="67" t="s">
        <v>170</v>
      </c>
      <c r="G48" s="67" t="s">
        <v>322</v>
      </c>
      <c r="H48" s="67" t="s">
        <v>175</v>
      </c>
      <c r="I48" s="67" t="s">
        <v>682</v>
      </c>
      <c r="J48" s="67" t="s">
        <v>683</v>
      </c>
      <c r="K48" s="67" t="s">
        <v>683</v>
      </c>
      <c r="L48" s="68" t="s">
        <v>578</v>
      </c>
    </row>
    <row r="49" ht="15.75" customHeight="1">
      <c r="A49" s="66">
        <v>22001.0</v>
      </c>
      <c r="B49" s="67" t="s">
        <v>243</v>
      </c>
      <c r="C49" s="67" t="s">
        <v>217</v>
      </c>
      <c r="D49" s="67" t="s">
        <v>170</v>
      </c>
      <c r="E49" s="67" t="s">
        <v>170</v>
      </c>
      <c r="F49" s="67" t="s">
        <v>170</v>
      </c>
      <c r="G49" s="67" t="s">
        <v>322</v>
      </c>
      <c r="H49" s="67" t="s">
        <v>175</v>
      </c>
      <c r="I49" s="67" t="s">
        <v>684</v>
      </c>
      <c r="J49" s="67" t="s">
        <v>685</v>
      </c>
      <c r="K49" s="67" t="s">
        <v>599</v>
      </c>
      <c r="L49" s="68" t="s">
        <v>600</v>
      </c>
    </row>
    <row r="50" ht="15.75" customHeight="1">
      <c r="A50" s="66">
        <v>232488.0</v>
      </c>
      <c r="B50" s="67" t="s">
        <v>265</v>
      </c>
      <c r="C50" s="67" t="s">
        <v>217</v>
      </c>
      <c r="D50" s="67" t="s">
        <v>194</v>
      </c>
      <c r="E50" s="67" t="s">
        <v>196</v>
      </c>
      <c r="F50" s="67" t="s">
        <v>170</v>
      </c>
      <c r="G50" s="67" t="s">
        <v>446</v>
      </c>
      <c r="H50" s="67" t="s">
        <v>186</v>
      </c>
      <c r="I50" s="67" t="s">
        <v>686</v>
      </c>
      <c r="J50" s="67" t="s">
        <v>687</v>
      </c>
      <c r="K50" s="67" t="s">
        <v>687</v>
      </c>
      <c r="L50" s="68" t="s">
        <v>578</v>
      </c>
    </row>
    <row r="51" ht="15.75" customHeight="1">
      <c r="A51" s="66">
        <v>392860.0</v>
      </c>
      <c r="B51" s="67" t="s">
        <v>167</v>
      </c>
      <c r="C51" s="67" t="s">
        <v>168</v>
      </c>
      <c r="D51" s="67" t="s">
        <v>194</v>
      </c>
      <c r="E51" s="67" t="s">
        <v>170</v>
      </c>
      <c r="F51" s="67" t="s">
        <v>170</v>
      </c>
      <c r="G51" s="67" t="s">
        <v>246</v>
      </c>
      <c r="H51" s="67" t="s">
        <v>247</v>
      </c>
      <c r="I51" s="67" t="s">
        <v>688</v>
      </c>
      <c r="J51" s="67" t="s">
        <v>689</v>
      </c>
      <c r="K51" s="67" t="s">
        <v>690</v>
      </c>
      <c r="L51" s="14" t="s">
        <v>587</v>
      </c>
    </row>
    <row r="52" ht="15.75" customHeight="1">
      <c r="A52" s="66">
        <v>26673.0</v>
      </c>
      <c r="B52" s="67" t="s">
        <v>243</v>
      </c>
      <c r="C52" s="67" t="s">
        <v>217</v>
      </c>
      <c r="D52" s="67" t="s">
        <v>194</v>
      </c>
      <c r="E52" s="67" t="s">
        <v>170</v>
      </c>
      <c r="F52" s="67" t="s">
        <v>256</v>
      </c>
      <c r="G52" s="67" t="s">
        <v>246</v>
      </c>
      <c r="H52" s="67" t="s">
        <v>247</v>
      </c>
      <c r="I52" s="67" t="s">
        <v>691</v>
      </c>
      <c r="J52" s="67" t="s">
        <v>692</v>
      </c>
      <c r="K52" s="67" t="s">
        <v>608</v>
      </c>
      <c r="L52" s="14" t="s">
        <v>609</v>
      </c>
    </row>
    <row r="53" ht="15.75" customHeight="1">
      <c r="A53" s="66">
        <v>26673.0</v>
      </c>
      <c r="B53" s="67" t="s">
        <v>243</v>
      </c>
      <c r="C53" s="67" t="s">
        <v>217</v>
      </c>
      <c r="D53" s="67" t="s">
        <v>194</v>
      </c>
      <c r="E53" s="67" t="s">
        <v>170</v>
      </c>
      <c r="F53" s="67" t="s">
        <v>256</v>
      </c>
      <c r="G53" s="67" t="s">
        <v>246</v>
      </c>
      <c r="H53" s="67" t="s">
        <v>247</v>
      </c>
      <c r="I53" s="67" t="s">
        <v>693</v>
      </c>
      <c r="J53" s="67" t="s">
        <v>692</v>
      </c>
      <c r="K53" s="67" t="s">
        <v>608</v>
      </c>
      <c r="L53" s="14" t="s">
        <v>609</v>
      </c>
    </row>
    <row r="54" ht="15.75" customHeight="1">
      <c r="A54" s="66">
        <v>26673.0</v>
      </c>
      <c r="B54" s="67" t="s">
        <v>243</v>
      </c>
      <c r="C54" s="67" t="s">
        <v>217</v>
      </c>
      <c r="D54" s="67" t="s">
        <v>194</v>
      </c>
      <c r="E54" s="67" t="s">
        <v>170</v>
      </c>
      <c r="F54" s="67" t="s">
        <v>256</v>
      </c>
      <c r="G54" s="67" t="s">
        <v>246</v>
      </c>
      <c r="H54" s="67" t="s">
        <v>247</v>
      </c>
      <c r="I54" s="67" t="s">
        <v>694</v>
      </c>
      <c r="J54" s="67" t="s">
        <v>692</v>
      </c>
      <c r="K54" s="67" t="s">
        <v>608</v>
      </c>
      <c r="L54" s="14" t="s">
        <v>609</v>
      </c>
    </row>
    <row r="55" ht="15.75" customHeight="1">
      <c r="A55" s="66">
        <v>232488.0</v>
      </c>
      <c r="B55" s="67" t="s">
        <v>265</v>
      </c>
      <c r="C55" s="67" t="s">
        <v>217</v>
      </c>
      <c r="D55" s="67" t="s">
        <v>194</v>
      </c>
      <c r="E55" s="67" t="s">
        <v>196</v>
      </c>
      <c r="F55" s="67" t="s">
        <v>170</v>
      </c>
      <c r="G55" s="67" t="s">
        <v>446</v>
      </c>
      <c r="H55" s="67" t="s">
        <v>186</v>
      </c>
      <c r="I55" s="67" t="s">
        <v>695</v>
      </c>
      <c r="J55" s="67" t="s">
        <v>696</v>
      </c>
      <c r="K55" s="67" t="s">
        <v>697</v>
      </c>
      <c r="L55" s="14" t="s">
        <v>698</v>
      </c>
    </row>
    <row r="56" ht="15.75" customHeight="1">
      <c r="A56" s="66">
        <v>31614.0</v>
      </c>
      <c r="B56" s="67" t="s">
        <v>192</v>
      </c>
      <c r="C56" s="67" t="s">
        <v>168</v>
      </c>
      <c r="D56" s="67" t="s">
        <v>194</v>
      </c>
      <c r="E56" s="67" t="s">
        <v>196</v>
      </c>
      <c r="F56" s="67" t="s">
        <v>170</v>
      </c>
      <c r="G56" s="67" t="s">
        <v>198</v>
      </c>
      <c r="H56" s="67" t="s">
        <v>186</v>
      </c>
      <c r="I56" s="67" t="s">
        <v>699</v>
      </c>
      <c r="J56" s="67" t="s">
        <v>700</v>
      </c>
      <c r="K56" s="67" t="s">
        <v>697</v>
      </c>
      <c r="L56" s="14" t="s">
        <v>698</v>
      </c>
    </row>
    <row r="57" ht="15.75" customHeight="1">
      <c r="A57" s="66">
        <v>3017.0</v>
      </c>
      <c r="B57" s="67" t="s">
        <v>265</v>
      </c>
      <c r="C57" s="67" t="s">
        <v>217</v>
      </c>
      <c r="D57" s="67" t="s">
        <v>194</v>
      </c>
      <c r="E57" s="67" t="s">
        <v>170</v>
      </c>
      <c r="F57" s="67" t="s">
        <v>170</v>
      </c>
      <c r="G57" s="67" t="s">
        <v>246</v>
      </c>
      <c r="H57" s="67" t="s">
        <v>247</v>
      </c>
      <c r="I57" s="67" t="s">
        <v>701</v>
      </c>
      <c r="J57" s="67" t="s">
        <v>702</v>
      </c>
      <c r="K57" s="67" t="s">
        <v>636</v>
      </c>
      <c r="L57" s="14" t="s">
        <v>637</v>
      </c>
    </row>
    <row r="58" ht="15.75" customHeight="1">
      <c r="A58" s="66">
        <v>354302.0</v>
      </c>
      <c r="B58" s="67" t="s">
        <v>167</v>
      </c>
      <c r="C58" s="67" t="s">
        <v>168</v>
      </c>
      <c r="D58" s="67" t="s">
        <v>170</v>
      </c>
      <c r="E58" s="67" t="s">
        <v>170</v>
      </c>
      <c r="F58" s="67" t="s">
        <v>170</v>
      </c>
      <c r="G58" s="67" t="s">
        <v>299</v>
      </c>
      <c r="H58" s="67" t="s">
        <v>259</v>
      </c>
      <c r="I58" s="67" t="s">
        <v>703</v>
      </c>
      <c r="J58" s="67" t="s">
        <v>704</v>
      </c>
      <c r="K58" s="67" t="s">
        <v>705</v>
      </c>
      <c r="L58" s="14" t="s">
        <v>587</v>
      </c>
    </row>
    <row r="59" ht="15.75" customHeight="1">
      <c r="A59" s="66">
        <v>240325.0</v>
      </c>
      <c r="B59" s="67" t="s">
        <v>216</v>
      </c>
      <c r="C59" s="67" t="s">
        <v>217</v>
      </c>
      <c r="D59" s="67" t="s">
        <v>194</v>
      </c>
      <c r="E59" s="67" t="s">
        <v>172</v>
      </c>
      <c r="F59" s="67" t="s">
        <v>170</v>
      </c>
      <c r="G59" s="67" t="s">
        <v>221</v>
      </c>
      <c r="H59" s="67" t="s">
        <v>222</v>
      </c>
      <c r="I59" s="67" t="s">
        <v>706</v>
      </c>
      <c r="J59" s="67" t="s">
        <v>707</v>
      </c>
      <c r="K59" s="67" t="s">
        <v>708</v>
      </c>
      <c r="L59" s="14" t="s">
        <v>587</v>
      </c>
    </row>
    <row r="60" ht="15.75" customHeight="1">
      <c r="A60" s="66">
        <v>26673.0</v>
      </c>
      <c r="B60" s="67" t="s">
        <v>243</v>
      </c>
      <c r="C60" s="67" t="s">
        <v>217</v>
      </c>
      <c r="D60" s="67" t="s">
        <v>194</v>
      </c>
      <c r="E60" s="67" t="s">
        <v>170</v>
      </c>
      <c r="F60" s="67" t="s">
        <v>256</v>
      </c>
      <c r="G60" s="67" t="s">
        <v>246</v>
      </c>
      <c r="H60" s="67" t="s">
        <v>247</v>
      </c>
      <c r="I60" s="67" t="s">
        <v>709</v>
      </c>
      <c r="J60" s="67" t="s">
        <v>710</v>
      </c>
      <c r="K60" s="67" t="s">
        <v>710</v>
      </c>
      <c r="L60" s="14" t="s">
        <v>587</v>
      </c>
    </row>
    <row r="61" ht="15.75" customHeight="1">
      <c r="A61" s="66">
        <v>232488.0</v>
      </c>
      <c r="B61" s="67" t="s">
        <v>265</v>
      </c>
      <c r="C61" s="67" t="s">
        <v>217</v>
      </c>
      <c r="D61" s="67" t="s">
        <v>194</v>
      </c>
      <c r="E61" s="67" t="s">
        <v>196</v>
      </c>
      <c r="F61" s="67" t="s">
        <v>170</v>
      </c>
      <c r="G61" s="67" t="s">
        <v>446</v>
      </c>
      <c r="H61" s="67" t="s">
        <v>186</v>
      </c>
      <c r="I61" s="67" t="s">
        <v>711</v>
      </c>
      <c r="J61" s="67" t="s">
        <v>712</v>
      </c>
      <c r="K61" s="67" t="s">
        <v>713</v>
      </c>
      <c r="L61" s="14" t="s">
        <v>613</v>
      </c>
    </row>
    <row r="62" ht="15.75" customHeight="1">
      <c r="A62" s="66">
        <v>354302.0</v>
      </c>
      <c r="B62" s="67" t="s">
        <v>167</v>
      </c>
      <c r="C62" s="67" t="s">
        <v>168</v>
      </c>
      <c r="D62" s="67" t="s">
        <v>170</v>
      </c>
      <c r="E62" s="67" t="s">
        <v>170</v>
      </c>
      <c r="F62" s="67" t="s">
        <v>170</v>
      </c>
      <c r="G62" s="67" t="s">
        <v>299</v>
      </c>
      <c r="H62" s="67" t="s">
        <v>259</v>
      </c>
      <c r="I62" s="67" t="s">
        <v>714</v>
      </c>
      <c r="J62" s="67" t="s">
        <v>715</v>
      </c>
      <c r="K62" s="67" t="s">
        <v>716</v>
      </c>
      <c r="L62" s="14" t="s">
        <v>664</v>
      </c>
    </row>
    <row r="63" ht="15.75" customHeight="1">
      <c r="A63" s="66">
        <v>118123.0</v>
      </c>
      <c r="B63" s="67" t="s">
        <v>203</v>
      </c>
      <c r="C63" s="67" t="s">
        <v>168</v>
      </c>
      <c r="D63" s="67" t="s">
        <v>194</v>
      </c>
      <c r="E63" s="67" t="s">
        <v>170</v>
      </c>
      <c r="F63" s="67" t="s">
        <v>170</v>
      </c>
      <c r="G63" s="67" t="s">
        <v>208</v>
      </c>
      <c r="H63" s="67" t="s">
        <v>209</v>
      </c>
      <c r="I63" s="67" t="s">
        <v>717</v>
      </c>
      <c r="J63" s="67" t="s">
        <v>718</v>
      </c>
      <c r="K63" s="67" t="s">
        <v>627</v>
      </c>
      <c r="L63" s="68" t="s">
        <v>600</v>
      </c>
    </row>
    <row r="64" ht="15.75" customHeight="1">
      <c r="A64" s="66">
        <v>194180.0</v>
      </c>
      <c r="B64" s="67" t="s">
        <v>274</v>
      </c>
      <c r="C64" s="67" t="s">
        <v>217</v>
      </c>
      <c r="D64" s="67" t="s">
        <v>276</v>
      </c>
      <c r="E64" s="67" t="s">
        <v>170</v>
      </c>
      <c r="F64" s="67" t="s">
        <v>170</v>
      </c>
      <c r="G64" s="67" t="s">
        <v>208</v>
      </c>
      <c r="H64" s="67" t="s">
        <v>209</v>
      </c>
      <c r="I64" s="67" t="s">
        <v>719</v>
      </c>
      <c r="J64" s="67" t="s">
        <v>720</v>
      </c>
      <c r="K64" s="67" t="s">
        <v>663</v>
      </c>
      <c r="L64" s="14" t="s">
        <v>664</v>
      </c>
    </row>
    <row r="65" ht="15.75" customHeight="1">
      <c r="A65" s="66">
        <v>194180.0</v>
      </c>
      <c r="B65" s="67" t="s">
        <v>274</v>
      </c>
      <c r="C65" s="67" t="s">
        <v>217</v>
      </c>
      <c r="D65" s="67" t="s">
        <v>276</v>
      </c>
      <c r="E65" s="67" t="s">
        <v>170</v>
      </c>
      <c r="F65" s="67" t="s">
        <v>170</v>
      </c>
      <c r="G65" s="67" t="s">
        <v>208</v>
      </c>
      <c r="H65" s="67" t="s">
        <v>209</v>
      </c>
      <c r="I65" s="67" t="s">
        <v>721</v>
      </c>
      <c r="J65" s="67" t="s">
        <v>722</v>
      </c>
      <c r="K65" s="67" t="s">
        <v>663</v>
      </c>
      <c r="L65" s="14" t="s">
        <v>664</v>
      </c>
    </row>
    <row r="66" ht="15.75" customHeight="1">
      <c r="A66" s="66">
        <v>228110.0</v>
      </c>
      <c r="B66" s="67" t="s">
        <v>243</v>
      </c>
      <c r="C66" s="67" t="s">
        <v>217</v>
      </c>
      <c r="D66" s="67" t="s">
        <v>170</v>
      </c>
      <c r="E66" s="67" t="s">
        <v>170</v>
      </c>
      <c r="F66" s="67" t="s">
        <v>170</v>
      </c>
      <c r="G66" s="67" t="s">
        <v>246</v>
      </c>
      <c r="H66" s="67" t="s">
        <v>247</v>
      </c>
      <c r="I66" s="67" t="s">
        <v>723</v>
      </c>
      <c r="J66" s="67" t="s">
        <v>724</v>
      </c>
      <c r="K66" s="67" t="s">
        <v>724</v>
      </c>
      <c r="L66" s="14" t="s">
        <v>664</v>
      </c>
    </row>
    <row r="67" ht="15.75" customHeight="1">
      <c r="A67" s="66">
        <v>127213.0</v>
      </c>
      <c r="B67" s="67" t="s">
        <v>274</v>
      </c>
      <c r="C67" s="67" t="s">
        <v>217</v>
      </c>
      <c r="D67" s="67" t="s">
        <v>170</v>
      </c>
      <c r="E67" s="67" t="s">
        <v>170</v>
      </c>
      <c r="F67" s="67" t="s">
        <v>287</v>
      </c>
      <c r="G67" s="67" t="s">
        <v>289</v>
      </c>
      <c r="H67" s="67" t="s">
        <v>247</v>
      </c>
      <c r="I67" s="67" t="s">
        <v>725</v>
      </c>
      <c r="J67" s="67" t="s">
        <v>726</v>
      </c>
      <c r="K67" s="67" t="s">
        <v>630</v>
      </c>
      <c r="L67" s="14" t="s">
        <v>613</v>
      </c>
    </row>
    <row r="68" ht="15.75" customHeight="1">
      <c r="A68" s="66">
        <v>240325.0</v>
      </c>
      <c r="B68" s="67" t="s">
        <v>216</v>
      </c>
      <c r="C68" s="67" t="s">
        <v>217</v>
      </c>
      <c r="D68" s="67" t="s">
        <v>194</v>
      </c>
      <c r="E68" s="67" t="s">
        <v>172</v>
      </c>
      <c r="F68" s="67" t="s">
        <v>170</v>
      </c>
      <c r="G68" s="67" t="s">
        <v>221</v>
      </c>
      <c r="H68" s="67" t="s">
        <v>222</v>
      </c>
      <c r="I68" s="67" t="s">
        <v>727</v>
      </c>
      <c r="J68" s="67" t="s">
        <v>728</v>
      </c>
      <c r="K68" s="67" t="s">
        <v>708</v>
      </c>
      <c r="L68" s="14" t="s">
        <v>587</v>
      </c>
    </row>
    <row r="69" ht="15.75" customHeight="1">
      <c r="A69" s="66">
        <v>403583.0</v>
      </c>
      <c r="B69" s="67" t="s">
        <v>203</v>
      </c>
      <c r="C69" s="67" t="s">
        <v>168</v>
      </c>
      <c r="D69" s="67" t="s">
        <v>194</v>
      </c>
      <c r="E69" s="67" t="s">
        <v>206</v>
      </c>
      <c r="F69" s="67" t="s">
        <v>170</v>
      </c>
      <c r="G69" s="67" t="s">
        <v>208</v>
      </c>
      <c r="H69" s="67" t="s">
        <v>209</v>
      </c>
      <c r="I69" s="67" t="s">
        <v>729</v>
      </c>
      <c r="J69" s="67" t="s">
        <v>730</v>
      </c>
      <c r="K69" s="67" t="s">
        <v>731</v>
      </c>
      <c r="L69" s="68" t="s">
        <v>600</v>
      </c>
    </row>
    <row r="70" ht="15.75" customHeight="1">
      <c r="A70" s="66">
        <v>118123.0</v>
      </c>
      <c r="B70" s="67" t="s">
        <v>203</v>
      </c>
      <c r="C70" s="67" t="s">
        <v>168</v>
      </c>
      <c r="D70" s="67" t="s">
        <v>194</v>
      </c>
      <c r="E70" s="67" t="s">
        <v>170</v>
      </c>
      <c r="F70" s="67" t="s">
        <v>170</v>
      </c>
      <c r="G70" s="67" t="s">
        <v>208</v>
      </c>
      <c r="H70" s="67" t="s">
        <v>209</v>
      </c>
      <c r="I70" s="67" t="s">
        <v>732</v>
      </c>
      <c r="J70" s="67" t="s">
        <v>733</v>
      </c>
      <c r="K70" s="67" t="s">
        <v>734</v>
      </c>
      <c r="L70" s="14" t="s">
        <v>622</v>
      </c>
    </row>
    <row r="71" ht="15.75" customHeight="1">
      <c r="A71" s="66">
        <v>232488.0</v>
      </c>
      <c r="B71" s="67" t="s">
        <v>265</v>
      </c>
      <c r="C71" s="67" t="s">
        <v>217</v>
      </c>
      <c r="D71" s="67" t="s">
        <v>194</v>
      </c>
      <c r="E71" s="67" t="s">
        <v>196</v>
      </c>
      <c r="F71" s="67" t="s">
        <v>170</v>
      </c>
      <c r="G71" s="67" t="s">
        <v>446</v>
      </c>
      <c r="H71" s="67" t="s">
        <v>186</v>
      </c>
      <c r="I71" s="67" t="s">
        <v>735</v>
      </c>
      <c r="J71" s="67" t="s">
        <v>736</v>
      </c>
      <c r="K71" s="67" t="s">
        <v>651</v>
      </c>
      <c r="L71" s="14" t="s">
        <v>596</v>
      </c>
    </row>
    <row r="72" ht="15.75" customHeight="1">
      <c r="A72" s="66">
        <v>22001.0</v>
      </c>
      <c r="B72" s="67" t="s">
        <v>243</v>
      </c>
      <c r="C72" s="67" t="s">
        <v>217</v>
      </c>
      <c r="D72" s="67" t="s">
        <v>170</v>
      </c>
      <c r="E72" s="67" t="s">
        <v>170</v>
      </c>
      <c r="F72" s="67" t="s">
        <v>170</v>
      </c>
      <c r="G72" s="67" t="s">
        <v>322</v>
      </c>
      <c r="H72" s="67" t="s">
        <v>175</v>
      </c>
      <c r="I72" s="67" t="s">
        <v>737</v>
      </c>
      <c r="J72" s="67" t="s">
        <v>738</v>
      </c>
      <c r="K72" s="67" t="s">
        <v>738</v>
      </c>
      <c r="L72" s="14" t="s">
        <v>587</v>
      </c>
    </row>
    <row r="73" ht="15.75" customHeight="1">
      <c r="A73" s="66">
        <v>22001.0</v>
      </c>
      <c r="B73" s="67" t="s">
        <v>243</v>
      </c>
      <c r="C73" s="67" t="s">
        <v>217</v>
      </c>
      <c r="D73" s="67" t="s">
        <v>170</v>
      </c>
      <c r="E73" s="67" t="s">
        <v>170</v>
      </c>
      <c r="F73" s="67" t="s">
        <v>170</v>
      </c>
      <c r="G73" s="67" t="s">
        <v>322</v>
      </c>
      <c r="H73" s="67" t="s">
        <v>175</v>
      </c>
      <c r="I73" s="67" t="s">
        <v>739</v>
      </c>
      <c r="J73" s="67" t="s">
        <v>738</v>
      </c>
      <c r="K73" s="67" t="s">
        <v>738</v>
      </c>
      <c r="L73" s="14" t="s">
        <v>587</v>
      </c>
    </row>
    <row r="74" ht="15.75" customHeight="1">
      <c r="A74" s="66">
        <v>398317.0</v>
      </c>
      <c r="B74" s="67" t="s">
        <v>265</v>
      </c>
      <c r="C74" s="67" t="s">
        <v>217</v>
      </c>
      <c r="D74" s="67" t="s">
        <v>170</v>
      </c>
      <c r="E74" s="67" t="s">
        <v>170</v>
      </c>
      <c r="F74" s="67" t="s">
        <v>170</v>
      </c>
      <c r="G74" s="67" t="s">
        <v>246</v>
      </c>
      <c r="H74" s="67" t="s">
        <v>247</v>
      </c>
      <c r="I74" s="67" t="s">
        <v>740</v>
      </c>
      <c r="J74" s="67" t="s">
        <v>741</v>
      </c>
      <c r="K74" s="67" t="s">
        <v>742</v>
      </c>
      <c r="L74" s="14" t="s">
        <v>613</v>
      </c>
    </row>
    <row r="75" ht="15.75" customHeight="1">
      <c r="A75" s="66">
        <v>25714.0</v>
      </c>
      <c r="B75" s="67" t="s">
        <v>203</v>
      </c>
      <c r="C75" s="67" t="s">
        <v>168</v>
      </c>
      <c r="D75" s="67" t="s">
        <v>194</v>
      </c>
      <c r="E75" s="67" t="s">
        <v>172</v>
      </c>
      <c r="F75" s="67" t="s">
        <v>170</v>
      </c>
      <c r="G75" s="67" t="s">
        <v>208</v>
      </c>
      <c r="H75" s="67" t="s">
        <v>209</v>
      </c>
      <c r="I75" s="67" t="s">
        <v>743</v>
      </c>
      <c r="J75" s="67" t="s">
        <v>744</v>
      </c>
      <c r="K75" s="67" t="s">
        <v>745</v>
      </c>
      <c r="L75" s="14" t="s">
        <v>587</v>
      </c>
    </row>
    <row r="76" ht="15.75" customHeight="1">
      <c r="A76" s="66">
        <v>30061.0</v>
      </c>
      <c r="B76" s="67" t="s">
        <v>422</v>
      </c>
      <c r="C76" s="67" t="s">
        <v>217</v>
      </c>
      <c r="D76" s="67" t="s">
        <v>170</v>
      </c>
      <c r="E76" s="67" t="s">
        <v>425</v>
      </c>
      <c r="F76" s="67" t="s">
        <v>170</v>
      </c>
      <c r="G76" s="67" t="s">
        <v>208</v>
      </c>
      <c r="H76" s="67" t="s">
        <v>209</v>
      </c>
      <c r="I76" s="67" t="s">
        <v>746</v>
      </c>
      <c r="J76" s="70" t="s">
        <v>747</v>
      </c>
      <c r="K76" s="67" t="s">
        <v>690</v>
      </c>
      <c r="L76" s="14" t="s">
        <v>587</v>
      </c>
    </row>
    <row r="77" ht="15.75" customHeight="1">
      <c r="A77" s="66">
        <v>194180.0</v>
      </c>
      <c r="B77" s="67" t="s">
        <v>274</v>
      </c>
      <c r="C77" s="67" t="s">
        <v>217</v>
      </c>
      <c r="D77" s="67" t="s">
        <v>276</v>
      </c>
      <c r="E77" s="67" t="s">
        <v>170</v>
      </c>
      <c r="F77" s="67" t="s">
        <v>170</v>
      </c>
      <c r="G77" s="67" t="s">
        <v>208</v>
      </c>
      <c r="H77" s="67" t="s">
        <v>209</v>
      </c>
      <c r="I77" s="67" t="s">
        <v>748</v>
      </c>
      <c r="J77" s="67" t="s">
        <v>749</v>
      </c>
      <c r="K77" s="67" t="s">
        <v>745</v>
      </c>
      <c r="L77" s="14" t="s">
        <v>587</v>
      </c>
    </row>
    <row r="78" ht="15.75" customHeight="1">
      <c r="A78" s="66">
        <v>127213.0</v>
      </c>
      <c r="B78" s="67" t="s">
        <v>274</v>
      </c>
      <c r="C78" s="67" t="s">
        <v>217</v>
      </c>
      <c r="D78" s="67" t="s">
        <v>170</v>
      </c>
      <c r="E78" s="67" t="s">
        <v>170</v>
      </c>
      <c r="F78" s="67" t="s">
        <v>287</v>
      </c>
      <c r="G78" s="67" t="s">
        <v>289</v>
      </c>
      <c r="H78" s="67" t="s">
        <v>247</v>
      </c>
      <c r="I78" s="67" t="s">
        <v>750</v>
      </c>
      <c r="J78" s="67" t="s">
        <v>749</v>
      </c>
      <c r="K78" s="67" t="s">
        <v>745</v>
      </c>
      <c r="L78" s="14" t="s">
        <v>587</v>
      </c>
    </row>
    <row r="79" ht="15.75" customHeight="1">
      <c r="A79" s="66">
        <v>147937.0</v>
      </c>
      <c r="B79" s="67" t="s">
        <v>274</v>
      </c>
      <c r="C79" s="67" t="s">
        <v>217</v>
      </c>
      <c r="D79" s="67" t="s">
        <v>170</v>
      </c>
      <c r="E79" s="67" t="s">
        <v>170</v>
      </c>
      <c r="F79" s="67" t="s">
        <v>256</v>
      </c>
      <c r="G79" s="67" t="s">
        <v>208</v>
      </c>
      <c r="H79" s="67" t="s">
        <v>209</v>
      </c>
      <c r="I79" s="67" t="s">
        <v>751</v>
      </c>
      <c r="J79" s="67" t="s">
        <v>749</v>
      </c>
      <c r="K79" s="67" t="s">
        <v>745</v>
      </c>
      <c r="L79" s="14" t="s">
        <v>587</v>
      </c>
    </row>
    <row r="80" ht="15.75" customHeight="1">
      <c r="A80" s="66">
        <v>147937.0</v>
      </c>
      <c r="B80" s="67" t="s">
        <v>274</v>
      </c>
      <c r="C80" s="67" t="s">
        <v>217</v>
      </c>
      <c r="D80" s="67" t="s">
        <v>170</v>
      </c>
      <c r="E80" s="67" t="s">
        <v>170</v>
      </c>
      <c r="F80" s="67" t="s">
        <v>256</v>
      </c>
      <c r="G80" s="67" t="s">
        <v>208</v>
      </c>
      <c r="H80" s="67" t="s">
        <v>209</v>
      </c>
      <c r="I80" s="67" t="s">
        <v>752</v>
      </c>
      <c r="J80" s="67" t="s">
        <v>749</v>
      </c>
      <c r="K80" s="67" t="s">
        <v>745</v>
      </c>
      <c r="L80" s="14" t="s">
        <v>587</v>
      </c>
    </row>
    <row r="81" ht="15.75" customHeight="1">
      <c r="A81" s="66">
        <v>31614.0</v>
      </c>
      <c r="B81" s="67" t="s">
        <v>192</v>
      </c>
      <c r="C81" s="67" t="s">
        <v>168</v>
      </c>
      <c r="D81" s="67" t="s">
        <v>194</v>
      </c>
      <c r="E81" s="67" t="s">
        <v>196</v>
      </c>
      <c r="F81" s="67" t="s">
        <v>170</v>
      </c>
      <c r="G81" s="67" t="s">
        <v>198</v>
      </c>
      <c r="H81" s="67" t="s">
        <v>186</v>
      </c>
      <c r="I81" s="67" t="s">
        <v>753</v>
      </c>
      <c r="J81" s="67" t="s">
        <v>754</v>
      </c>
      <c r="K81" s="67" t="s">
        <v>755</v>
      </c>
      <c r="L81" s="14" t="s">
        <v>698</v>
      </c>
    </row>
    <row r="82" ht="15.75" customHeight="1">
      <c r="A82" s="66">
        <v>194180.0</v>
      </c>
      <c r="B82" s="67" t="s">
        <v>274</v>
      </c>
      <c r="C82" s="67" t="s">
        <v>217</v>
      </c>
      <c r="D82" s="67" t="s">
        <v>276</v>
      </c>
      <c r="E82" s="67" t="s">
        <v>170</v>
      </c>
      <c r="F82" s="67" t="s">
        <v>170</v>
      </c>
      <c r="G82" s="67" t="s">
        <v>208</v>
      </c>
      <c r="H82" s="67" t="s">
        <v>209</v>
      </c>
      <c r="I82" s="67" t="s">
        <v>756</v>
      </c>
      <c r="J82" s="67" t="s">
        <v>757</v>
      </c>
      <c r="K82" s="67" t="s">
        <v>757</v>
      </c>
      <c r="L82" s="14" t="s">
        <v>587</v>
      </c>
    </row>
    <row r="83" ht="15.75" customHeight="1">
      <c r="A83" s="66">
        <v>20827.0</v>
      </c>
      <c r="B83" s="67" t="s">
        <v>460</v>
      </c>
      <c r="C83" s="67" t="s">
        <v>168</v>
      </c>
      <c r="D83" s="67" t="s">
        <v>194</v>
      </c>
      <c r="E83" s="67" t="s">
        <v>196</v>
      </c>
      <c r="F83" s="67" t="s">
        <v>170</v>
      </c>
      <c r="G83" s="67" t="s">
        <v>464</v>
      </c>
      <c r="H83" s="67" t="s">
        <v>259</v>
      </c>
      <c r="I83" s="67" t="s">
        <v>758</v>
      </c>
      <c r="J83" s="70" t="s">
        <v>759</v>
      </c>
      <c r="K83" s="67" t="s">
        <v>690</v>
      </c>
      <c r="L83" s="14" t="s">
        <v>587</v>
      </c>
    </row>
    <row r="84" ht="15.75" customHeight="1">
      <c r="A84" s="66">
        <v>392860.0</v>
      </c>
      <c r="B84" s="67" t="s">
        <v>167</v>
      </c>
      <c r="C84" s="67" t="s">
        <v>168</v>
      </c>
      <c r="D84" s="67" t="s">
        <v>194</v>
      </c>
      <c r="E84" s="67" t="s">
        <v>170</v>
      </c>
      <c r="F84" s="67" t="s">
        <v>170</v>
      </c>
      <c r="G84" s="67" t="s">
        <v>246</v>
      </c>
      <c r="H84" s="67" t="s">
        <v>247</v>
      </c>
      <c r="I84" s="67" t="s">
        <v>760</v>
      </c>
      <c r="J84" s="67" t="s">
        <v>759</v>
      </c>
      <c r="K84" s="67" t="s">
        <v>690</v>
      </c>
      <c r="L84" s="14" t="s">
        <v>587</v>
      </c>
    </row>
    <row r="85" ht="15.75" customHeight="1">
      <c r="A85" s="66">
        <v>147937.0</v>
      </c>
      <c r="B85" s="67" t="s">
        <v>274</v>
      </c>
      <c r="C85" s="67" t="s">
        <v>217</v>
      </c>
      <c r="D85" s="67" t="s">
        <v>170</v>
      </c>
      <c r="E85" s="67" t="s">
        <v>170</v>
      </c>
      <c r="F85" s="67" t="s">
        <v>256</v>
      </c>
      <c r="G85" s="67" t="s">
        <v>208</v>
      </c>
      <c r="H85" s="67" t="s">
        <v>209</v>
      </c>
      <c r="I85" s="67" t="s">
        <v>761</v>
      </c>
      <c r="J85" s="67" t="s">
        <v>762</v>
      </c>
      <c r="K85" s="67" t="s">
        <v>762</v>
      </c>
      <c r="L85" s="68" t="s">
        <v>600</v>
      </c>
    </row>
    <row r="86" ht="15.75" customHeight="1">
      <c r="A86" s="66">
        <v>26673.0</v>
      </c>
      <c r="B86" s="67" t="s">
        <v>243</v>
      </c>
      <c r="C86" s="67" t="s">
        <v>217</v>
      </c>
      <c r="D86" s="67" t="s">
        <v>194</v>
      </c>
      <c r="E86" s="67" t="s">
        <v>170</v>
      </c>
      <c r="F86" s="67" t="s">
        <v>256</v>
      </c>
      <c r="G86" s="67" t="s">
        <v>246</v>
      </c>
      <c r="H86" s="67" t="s">
        <v>247</v>
      </c>
      <c r="I86" s="67" t="s">
        <v>763</v>
      </c>
      <c r="J86" s="67" t="s">
        <v>764</v>
      </c>
      <c r="K86" s="67" t="s">
        <v>608</v>
      </c>
      <c r="L86" s="14" t="s">
        <v>609</v>
      </c>
    </row>
    <row r="87" ht="15.75" customHeight="1">
      <c r="A87" s="66">
        <v>147937.0</v>
      </c>
      <c r="B87" s="67" t="s">
        <v>274</v>
      </c>
      <c r="C87" s="67" t="s">
        <v>217</v>
      </c>
      <c r="D87" s="67" t="s">
        <v>170</v>
      </c>
      <c r="E87" s="67" t="s">
        <v>170</v>
      </c>
      <c r="F87" s="67" t="s">
        <v>256</v>
      </c>
      <c r="G87" s="67" t="s">
        <v>208</v>
      </c>
      <c r="H87" s="67" t="s">
        <v>209</v>
      </c>
      <c r="I87" s="67" t="s">
        <v>765</v>
      </c>
      <c r="J87" s="67" t="s">
        <v>766</v>
      </c>
      <c r="K87" s="67" t="s">
        <v>674</v>
      </c>
      <c r="L87" s="14" t="s">
        <v>637</v>
      </c>
    </row>
    <row r="88" ht="15.75" customHeight="1">
      <c r="A88" s="66">
        <v>240325.0</v>
      </c>
      <c r="B88" s="67" t="s">
        <v>216</v>
      </c>
      <c r="C88" s="67" t="s">
        <v>217</v>
      </c>
      <c r="D88" s="67" t="s">
        <v>194</v>
      </c>
      <c r="E88" s="67" t="s">
        <v>172</v>
      </c>
      <c r="F88" s="67" t="s">
        <v>170</v>
      </c>
      <c r="G88" s="67" t="s">
        <v>221</v>
      </c>
      <c r="H88" s="67" t="s">
        <v>222</v>
      </c>
      <c r="I88" s="67" t="s">
        <v>767</v>
      </c>
      <c r="J88" s="67" t="s">
        <v>768</v>
      </c>
      <c r="K88" s="67" t="s">
        <v>769</v>
      </c>
      <c r="L88" s="14" t="s">
        <v>637</v>
      </c>
    </row>
    <row r="89" ht="15.75" customHeight="1">
      <c r="A89" s="66">
        <v>34041.0</v>
      </c>
      <c r="B89" s="67" t="s">
        <v>422</v>
      </c>
      <c r="C89" s="67" t="s">
        <v>217</v>
      </c>
      <c r="D89" s="67" t="s">
        <v>170</v>
      </c>
      <c r="E89" s="67" t="s">
        <v>170</v>
      </c>
      <c r="F89" s="67" t="s">
        <v>170</v>
      </c>
      <c r="G89" s="67" t="s">
        <v>174</v>
      </c>
      <c r="H89" s="67" t="s">
        <v>175</v>
      </c>
      <c r="I89" s="67" t="s">
        <v>770</v>
      </c>
      <c r="J89" s="70" t="s">
        <v>771</v>
      </c>
      <c r="K89" s="67" t="s">
        <v>674</v>
      </c>
      <c r="L89" s="14" t="s">
        <v>637</v>
      </c>
    </row>
    <row r="90" ht="15.75" customHeight="1">
      <c r="A90" s="66">
        <v>3017.0</v>
      </c>
      <c r="B90" s="67" t="s">
        <v>265</v>
      </c>
      <c r="C90" s="67" t="s">
        <v>217</v>
      </c>
      <c r="D90" s="67" t="s">
        <v>194</v>
      </c>
      <c r="E90" s="67" t="s">
        <v>170</v>
      </c>
      <c r="F90" s="67" t="s">
        <v>170</v>
      </c>
      <c r="G90" s="67" t="s">
        <v>246</v>
      </c>
      <c r="H90" s="67" t="s">
        <v>247</v>
      </c>
      <c r="I90" s="67" t="s">
        <v>772</v>
      </c>
      <c r="J90" s="67" t="s">
        <v>773</v>
      </c>
      <c r="K90" s="67" t="s">
        <v>769</v>
      </c>
      <c r="L90" s="14" t="s">
        <v>637</v>
      </c>
    </row>
    <row r="91" ht="15.75" customHeight="1">
      <c r="A91" s="66">
        <v>127213.0</v>
      </c>
      <c r="B91" s="67" t="s">
        <v>274</v>
      </c>
      <c r="C91" s="67" t="s">
        <v>217</v>
      </c>
      <c r="D91" s="67" t="s">
        <v>170</v>
      </c>
      <c r="E91" s="67" t="s">
        <v>170</v>
      </c>
      <c r="F91" s="67" t="s">
        <v>287</v>
      </c>
      <c r="G91" s="67" t="s">
        <v>289</v>
      </c>
      <c r="H91" s="67" t="s">
        <v>247</v>
      </c>
      <c r="I91" s="67" t="s">
        <v>774</v>
      </c>
      <c r="J91" s="67" t="s">
        <v>775</v>
      </c>
      <c r="K91" s="67" t="s">
        <v>776</v>
      </c>
      <c r="L91" s="14" t="s">
        <v>664</v>
      </c>
    </row>
    <row r="92" ht="15.75" customHeight="1">
      <c r="A92" s="66">
        <v>31614.0</v>
      </c>
      <c r="B92" s="67" t="s">
        <v>192</v>
      </c>
      <c r="C92" s="67" t="s">
        <v>168</v>
      </c>
      <c r="D92" s="67" t="s">
        <v>194</v>
      </c>
      <c r="E92" s="67" t="s">
        <v>196</v>
      </c>
      <c r="F92" s="67" t="s">
        <v>170</v>
      </c>
      <c r="G92" s="67" t="s">
        <v>198</v>
      </c>
      <c r="H92" s="67" t="s">
        <v>186</v>
      </c>
      <c r="I92" s="67" t="s">
        <v>777</v>
      </c>
      <c r="J92" s="67" t="s">
        <v>778</v>
      </c>
      <c r="K92" s="67" t="s">
        <v>778</v>
      </c>
      <c r="L92" s="14" t="s">
        <v>698</v>
      </c>
    </row>
    <row r="93" ht="15.75" customHeight="1">
      <c r="A93" s="66">
        <v>34041.0</v>
      </c>
      <c r="B93" s="67" t="s">
        <v>422</v>
      </c>
      <c r="C93" s="67" t="s">
        <v>217</v>
      </c>
      <c r="D93" s="67" t="s">
        <v>170</v>
      </c>
      <c r="E93" s="67" t="s">
        <v>170</v>
      </c>
      <c r="F93" s="67" t="s">
        <v>170</v>
      </c>
      <c r="G93" s="67" t="s">
        <v>174</v>
      </c>
      <c r="H93" s="67" t="s">
        <v>175</v>
      </c>
      <c r="I93" s="67" t="s">
        <v>779</v>
      </c>
      <c r="J93" s="70" t="s">
        <v>780</v>
      </c>
      <c r="K93" s="67" t="s">
        <v>674</v>
      </c>
      <c r="L93" s="14" t="s">
        <v>637</v>
      </c>
    </row>
    <row r="94" ht="15.75" customHeight="1">
      <c r="A94" s="66">
        <v>26673.0</v>
      </c>
      <c r="B94" s="67" t="s">
        <v>243</v>
      </c>
      <c r="C94" s="67" t="s">
        <v>217</v>
      </c>
      <c r="D94" s="67" t="s">
        <v>194</v>
      </c>
      <c r="E94" s="67" t="s">
        <v>170</v>
      </c>
      <c r="F94" s="67" t="s">
        <v>256</v>
      </c>
      <c r="G94" s="67" t="s">
        <v>246</v>
      </c>
      <c r="H94" s="67" t="s">
        <v>247</v>
      </c>
      <c r="I94" s="67" t="s">
        <v>781</v>
      </c>
      <c r="J94" s="67" t="s">
        <v>782</v>
      </c>
      <c r="K94" s="67" t="s">
        <v>708</v>
      </c>
      <c r="L94" s="14" t="s">
        <v>587</v>
      </c>
    </row>
    <row r="95" ht="15.75" customHeight="1">
      <c r="A95" s="66">
        <v>14189.0</v>
      </c>
      <c r="B95" s="67" t="s">
        <v>265</v>
      </c>
      <c r="C95" s="67" t="s">
        <v>217</v>
      </c>
      <c r="D95" s="67" t="s">
        <v>194</v>
      </c>
      <c r="E95" s="67" t="s">
        <v>170</v>
      </c>
      <c r="F95" s="67" t="s">
        <v>170</v>
      </c>
      <c r="G95" s="67" t="s">
        <v>246</v>
      </c>
      <c r="H95" s="67" t="s">
        <v>247</v>
      </c>
      <c r="I95" s="67" t="s">
        <v>783</v>
      </c>
      <c r="J95" s="67" t="s">
        <v>784</v>
      </c>
      <c r="K95" s="67" t="s">
        <v>708</v>
      </c>
      <c r="L95" s="14" t="s">
        <v>587</v>
      </c>
    </row>
    <row r="96" ht="15.75" customHeight="1">
      <c r="A96" s="66">
        <v>12641.0</v>
      </c>
      <c r="B96" s="67" t="s">
        <v>216</v>
      </c>
      <c r="C96" s="67" t="s">
        <v>217</v>
      </c>
      <c r="D96" s="67" t="s">
        <v>170</v>
      </c>
      <c r="E96" s="67" t="s">
        <v>170</v>
      </c>
      <c r="F96" s="67" t="s">
        <v>170</v>
      </c>
      <c r="G96" s="67" t="s">
        <v>322</v>
      </c>
      <c r="H96" s="67" t="s">
        <v>175</v>
      </c>
      <c r="I96" s="67" t="s">
        <v>785</v>
      </c>
      <c r="J96" s="67" t="s">
        <v>786</v>
      </c>
      <c r="K96" s="67" t="s">
        <v>787</v>
      </c>
      <c r="L96" s="68" t="s">
        <v>578</v>
      </c>
    </row>
    <row r="97" ht="15.75" customHeight="1">
      <c r="A97" s="66">
        <v>22001.0</v>
      </c>
      <c r="B97" s="67" t="s">
        <v>243</v>
      </c>
      <c r="C97" s="67" t="s">
        <v>217</v>
      </c>
      <c r="D97" s="67" t="s">
        <v>170</v>
      </c>
      <c r="E97" s="67" t="s">
        <v>170</v>
      </c>
      <c r="F97" s="67" t="s">
        <v>170</v>
      </c>
      <c r="G97" s="67" t="s">
        <v>322</v>
      </c>
      <c r="H97" s="67" t="s">
        <v>175</v>
      </c>
      <c r="I97" s="67" t="s">
        <v>788</v>
      </c>
      <c r="J97" s="67" t="s">
        <v>789</v>
      </c>
      <c r="K97" s="67" t="s">
        <v>716</v>
      </c>
      <c r="L97" s="14" t="s">
        <v>664</v>
      </c>
    </row>
    <row r="98" ht="15.75" customHeight="1">
      <c r="A98" s="66">
        <v>398317.0</v>
      </c>
      <c r="B98" s="67" t="s">
        <v>265</v>
      </c>
      <c r="C98" s="67" t="s">
        <v>217</v>
      </c>
      <c r="D98" s="67" t="s">
        <v>170</v>
      </c>
      <c r="E98" s="67" t="s">
        <v>170</v>
      </c>
      <c r="F98" s="67" t="s">
        <v>170</v>
      </c>
      <c r="G98" s="67" t="s">
        <v>246</v>
      </c>
      <c r="H98" s="67" t="s">
        <v>247</v>
      </c>
      <c r="I98" s="67" t="s">
        <v>790</v>
      </c>
      <c r="J98" s="67" t="s">
        <v>791</v>
      </c>
      <c r="K98" s="67" t="s">
        <v>769</v>
      </c>
      <c r="L98" s="14" t="s">
        <v>637</v>
      </c>
    </row>
    <row r="99" ht="15.75" customHeight="1">
      <c r="A99" s="66">
        <v>228110.0</v>
      </c>
      <c r="B99" s="67" t="s">
        <v>243</v>
      </c>
      <c r="C99" s="67" t="s">
        <v>217</v>
      </c>
      <c r="D99" s="67" t="s">
        <v>170</v>
      </c>
      <c r="E99" s="67" t="s">
        <v>170</v>
      </c>
      <c r="F99" s="67" t="s">
        <v>170</v>
      </c>
      <c r="G99" s="67" t="s">
        <v>246</v>
      </c>
      <c r="H99" s="67" t="s">
        <v>247</v>
      </c>
      <c r="I99" s="67" t="s">
        <v>792</v>
      </c>
      <c r="J99" s="67" t="s">
        <v>793</v>
      </c>
      <c r="K99" s="67" t="s">
        <v>708</v>
      </c>
      <c r="L99" s="14" t="s">
        <v>587</v>
      </c>
    </row>
    <row r="100" ht="15.75" customHeight="1">
      <c r="A100" s="66">
        <v>228110.0</v>
      </c>
      <c r="B100" s="67" t="s">
        <v>243</v>
      </c>
      <c r="C100" s="67" t="s">
        <v>217</v>
      </c>
      <c r="D100" s="67" t="s">
        <v>170</v>
      </c>
      <c r="E100" s="67" t="s">
        <v>170</v>
      </c>
      <c r="F100" s="67" t="s">
        <v>170</v>
      </c>
      <c r="G100" s="67" t="s">
        <v>246</v>
      </c>
      <c r="H100" s="67" t="s">
        <v>247</v>
      </c>
      <c r="I100" s="67" t="s">
        <v>794</v>
      </c>
      <c r="J100" s="67" t="s">
        <v>795</v>
      </c>
      <c r="K100" s="67" t="s">
        <v>708</v>
      </c>
      <c r="L100" s="14" t="s">
        <v>587</v>
      </c>
    </row>
    <row r="101" ht="15.75" customHeight="1">
      <c r="A101" s="66">
        <v>31614.0</v>
      </c>
      <c r="B101" s="67" t="s">
        <v>192</v>
      </c>
      <c r="C101" s="67" t="s">
        <v>168</v>
      </c>
      <c r="D101" s="67" t="s">
        <v>194</v>
      </c>
      <c r="E101" s="67" t="s">
        <v>196</v>
      </c>
      <c r="F101" s="67" t="s">
        <v>170</v>
      </c>
      <c r="G101" s="67" t="s">
        <v>198</v>
      </c>
      <c r="H101" s="67" t="s">
        <v>186</v>
      </c>
      <c r="I101" s="67" t="s">
        <v>796</v>
      </c>
      <c r="J101" s="67" t="s">
        <v>797</v>
      </c>
      <c r="K101" s="67" t="s">
        <v>797</v>
      </c>
      <c r="L101" s="14" t="s">
        <v>698</v>
      </c>
    </row>
    <row r="102" ht="15.75" customHeight="1">
      <c r="A102" s="66">
        <v>194180.0</v>
      </c>
      <c r="B102" s="67" t="s">
        <v>274</v>
      </c>
      <c r="C102" s="67" t="s">
        <v>217</v>
      </c>
      <c r="D102" s="67" t="s">
        <v>276</v>
      </c>
      <c r="E102" s="67" t="s">
        <v>170</v>
      </c>
      <c r="F102" s="67" t="s">
        <v>170</v>
      </c>
      <c r="G102" s="67" t="s">
        <v>208</v>
      </c>
      <c r="H102" s="67" t="s">
        <v>209</v>
      </c>
      <c r="I102" s="67" t="s">
        <v>798</v>
      </c>
      <c r="J102" s="67" t="s">
        <v>799</v>
      </c>
      <c r="K102" s="67" t="s">
        <v>663</v>
      </c>
      <c r="L102" s="14" t="s">
        <v>664</v>
      </c>
    </row>
    <row r="103" ht="15.75" customHeight="1">
      <c r="A103" s="66">
        <v>194180.0</v>
      </c>
      <c r="B103" s="67" t="s">
        <v>274</v>
      </c>
      <c r="C103" s="67" t="s">
        <v>217</v>
      </c>
      <c r="D103" s="67" t="s">
        <v>276</v>
      </c>
      <c r="E103" s="67" t="s">
        <v>170</v>
      </c>
      <c r="F103" s="67" t="s">
        <v>170</v>
      </c>
      <c r="G103" s="67" t="s">
        <v>208</v>
      </c>
      <c r="H103" s="67" t="s">
        <v>209</v>
      </c>
      <c r="I103" s="67" t="s">
        <v>800</v>
      </c>
      <c r="J103" s="67" t="s">
        <v>799</v>
      </c>
      <c r="K103" s="67" t="s">
        <v>663</v>
      </c>
      <c r="L103" s="14" t="s">
        <v>664</v>
      </c>
    </row>
    <row r="104" ht="15.75" customHeight="1">
      <c r="A104" s="66">
        <v>8679.0</v>
      </c>
      <c r="B104" s="67" t="s">
        <v>328</v>
      </c>
      <c r="C104" s="67" t="s">
        <v>217</v>
      </c>
      <c r="D104" s="67" t="s">
        <v>194</v>
      </c>
      <c r="E104" s="67" t="s">
        <v>196</v>
      </c>
      <c r="F104" s="67" t="s">
        <v>332</v>
      </c>
      <c r="G104" s="67" t="s">
        <v>198</v>
      </c>
      <c r="H104" s="67" t="s">
        <v>186</v>
      </c>
      <c r="I104" s="67" t="s">
        <v>801</v>
      </c>
      <c r="J104" s="67" t="s">
        <v>802</v>
      </c>
      <c r="K104" s="67" t="s">
        <v>616</v>
      </c>
      <c r="L104" s="68" t="s">
        <v>600</v>
      </c>
    </row>
    <row r="105" ht="15.75" customHeight="1">
      <c r="A105" s="66">
        <v>232488.0</v>
      </c>
      <c r="B105" s="67" t="s">
        <v>265</v>
      </c>
      <c r="C105" s="67" t="s">
        <v>217</v>
      </c>
      <c r="D105" s="67" t="s">
        <v>194</v>
      </c>
      <c r="E105" s="67" t="s">
        <v>196</v>
      </c>
      <c r="F105" s="67" t="s">
        <v>170</v>
      </c>
      <c r="G105" s="67" t="s">
        <v>446</v>
      </c>
      <c r="H105" s="67" t="s">
        <v>186</v>
      </c>
      <c r="I105" s="67" t="s">
        <v>803</v>
      </c>
      <c r="J105" s="67" t="s">
        <v>804</v>
      </c>
      <c r="K105" s="67" t="s">
        <v>667</v>
      </c>
      <c r="L105" s="14" t="s">
        <v>622</v>
      </c>
    </row>
    <row r="106" ht="15.75" customHeight="1">
      <c r="A106" s="66">
        <v>398317.0</v>
      </c>
      <c r="B106" s="67" t="s">
        <v>265</v>
      </c>
      <c r="C106" s="67" t="s">
        <v>217</v>
      </c>
      <c r="D106" s="67" t="s">
        <v>170</v>
      </c>
      <c r="E106" s="67" t="s">
        <v>170</v>
      </c>
      <c r="F106" s="67" t="s">
        <v>170</v>
      </c>
      <c r="G106" s="67" t="s">
        <v>246</v>
      </c>
      <c r="H106" s="67" t="s">
        <v>247</v>
      </c>
      <c r="I106" s="67" t="s">
        <v>805</v>
      </c>
      <c r="J106" s="67" t="s">
        <v>806</v>
      </c>
      <c r="K106" s="67" t="s">
        <v>742</v>
      </c>
      <c r="L106" s="14" t="s">
        <v>613</v>
      </c>
    </row>
    <row r="107" ht="15.75" customHeight="1">
      <c r="A107" s="66">
        <v>23855.0</v>
      </c>
      <c r="B107" s="67" t="s">
        <v>167</v>
      </c>
      <c r="C107" s="67" t="s">
        <v>168</v>
      </c>
      <c r="D107" s="67" t="s">
        <v>194</v>
      </c>
      <c r="E107" s="67" t="s">
        <v>196</v>
      </c>
      <c r="F107" s="67" t="s">
        <v>170</v>
      </c>
      <c r="G107" s="67" t="s">
        <v>372</v>
      </c>
      <c r="H107" s="67" t="s">
        <v>186</v>
      </c>
      <c r="I107" s="67" t="s">
        <v>807</v>
      </c>
      <c r="J107" s="67" t="s">
        <v>808</v>
      </c>
      <c r="K107" s="67" t="s">
        <v>705</v>
      </c>
      <c r="L107" s="14" t="s">
        <v>587</v>
      </c>
    </row>
    <row r="108" ht="15.75" customHeight="1">
      <c r="A108" s="66">
        <v>127213.0</v>
      </c>
      <c r="B108" s="67" t="s">
        <v>274</v>
      </c>
      <c r="C108" s="67" t="s">
        <v>217</v>
      </c>
      <c r="D108" s="67" t="s">
        <v>170</v>
      </c>
      <c r="E108" s="67" t="s">
        <v>170</v>
      </c>
      <c r="F108" s="67" t="s">
        <v>287</v>
      </c>
      <c r="G108" s="67" t="s">
        <v>289</v>
      </c>
      <c r="H108" s="67" t="s">
        <v>247</v>
      </c>
      <c r="I108" s="67" t="s">
        <v>809</v>
      </c>
      <c r="J108" s="67" t="s">
        <v>810</v>
      </c>
      <c r="K108" s="67" t="s">
        <v>657</v>
      </c>
      <c r="L108" s="14" t="s">
        <v>637</v>
      </c>
    </row>
    <row r="109" ht="15.75" customHeight="1">
      <c r="A109" s="66">
        <v>127213.0</v>
      </c>
      <c r="B109" s="67" t="s">
        <v>274</v>
      </c>
      <c r="C109" s="67" t="s">
        <v>217</v>
      </c>
      <c r="D109" s="67" t="s">
        <v>170</v>
      </c>
      <c r="E109" s="67" t="s">
        <v>170</v>
      </c>
      <c r="F109" s="67" t="s">
        <v>287</v>
      </c>
      <c r="G109" s="67" t="s">
        <v>289</v>
      </c>
      <c r="H109" s="67" t="s">
        <v>247</v>
      </c>
      <c r="I109" s="67" t="s">
        <v>811</v>
      </c>
      <c r="J109" s="67" t="s">
        <v>812</v>
      </c>
      <c r="K109" s="67" t="s">
        <v>630</v>
      </c>
      <c r="L109" s="14" t="s">
        <v>613</v>
      </c>
    </row>
    <row r="110" ht="15.75" customHeight="1">
      <c r="A110" s="66">
        <v>232488.0</v>
      </c>
      <c r="B110" s="67" t="s">
        <v>265</v>
      </c>
      <c r="C110" s="67" t="s">
        <v>217</v>
      </c>
      <c r="D110" s="67" t="s">
        <v>194</v>
      </c>
      <c r="E110" s="67" t="s">
        <v>196</v>
      </c>
      <c r="F110" s="67" t="s">
        <v>170</v>
      </c>
      <c r="G110" s="67" t="s">
        <v>446</v>
      </c>
      <c r="H110" s="67" t="s">
        <v>186</v>
      </c>
      <c r="I110" s="67" t="s">
        <v>813</v>
      </c>
      <c r="J110" s="67" t="s">
        <v>814</v>
      </c>
      <c r="K110" s="67" t="s">
        <v>630</v>
      </c>
      <c r="L110" s="14" t="s">
        <v>613</v>
      </c>
    </row>
    <row r="111" ht="15.75" customHeight="1">
      <c r="A111" s="66">
        <v>9878.0</v>
      </c>
      <c r="B111" s="67" t="s">
        <v>167</v>
      </c>
      <c r="C111" s="67" t="s">
        <v>168</v>
      </c>
      <c r="D111" s="67" t="s">
        <v>194</v>
      </c>
      <c r="E111" s="67" t="s">
        <v>196</v>
      </c>
      <c r="F111" s="67" t="s">
        <v>256</v>
      </c>
      <c r="G111" s="67" t="s">
        <v>221</v>
      </c>
      <c r="H111" s="67" t="s">
        <v>222</v>
      </c>
      <c r="I111" s="67" t="s">
        <v>815</v>
      </c>
      <c r="J111" s="67" t="s">
        <v>816</v>
      </c>
      <c r="K111" s="67" t="s">
        <v>817</v>
      </c>
      <c r="L111" s="68" t="s">
        <v>578</v>
      </c>
    </row>
    <row r="112" ht="15.75" customHeight="1">
      <c r="A112" s="66">
        <v>231273.0</v>
      </c>
      <c r="B112" s="67" t="s">
        <v>216</v>
      </c>
      <c r="C112" s="67" t="s">
        <v>217</v>
      </c>
      <c r="D112" s="67" t="s">
        <v>170</v>
      </c>
      <c r="E112" s="67" t="s">
        <v>254</v>
      </c>
      <c r="F112" s="67" t="s">
        <v>256</v>
      </c>
      <c r="G112" s="67" t="s">
        <v>258</v>
      </c>
      <c r="H112" s="67" t="s">
        <v>259</v>
      </c>
      <c r="I112" s="67" t="s">
        <v>818</v>
      </c>
      <c r="J112" s="67" t="s">
        <v>819</v>
      </c>
      <c r="K112" s="67" t="s">
        <v>820</v>
      </c>
      <c r="L112" s="14" t="s">
        <v>622</v>
      </c>
    </row>
    <row r="113" ht="15.75" customHeight="1">
      <c r="A113" s="66">
        <v>392860.0</v>
      </c>
      <c r="B113" s="67" t="s">
        <v>167</v>
      </c>
      <c r="C113" s="67" t="s">
        <v>168</v>
      </c>
      <c r="D113" s="67" t="s">
        <v>194</v>
      </c>
      <c r="E113" s="67" t="s">
        <v>170</v>
      </c>
      <c r="F113" s="67" t="s">
        <v>170</v>
      </c>
      <c r="G113" s="67" t="s">
        <v>246</v>
      </c>
      <c r="H113" s="67" t="s">
        <v>247</v>
      </c>
      <c r="I113" s="67" t="s">
        <v>821</v>
      </c>
      <c r="J113" s="67" t="s">
        <v>822</v>
      </c>
      <c r="K113" s="67" t="s">
        <v>690</v>
      </c>
      <c r="L113" s="14" t="s">
        <v>587</v>
      </c>
    </row>
    <row r="114" ht="15.75" customHeight="1">
      <c r="A114" s="66">
        <v>234758.0</v>
      </c>
      <c r="B114" s="67" t="s">
        <v>192</v>
      </c>
      <c r="C114" s="67" t="s">
        <v>168</v>
      </c>
      <c r="D114" s="67" t="s">
        <v>170</v>
      </c>
      <c r="E114" s="67" t="s">
        <v>196</v>
      </c>
      <c r="F114" s="67" t="s">
        <v>256</v>
      </c>
      <c r="G114" s="67" t="s">
        <v>208</v>
      </c>
      <c r="H114" s="67" t="s">
        <v>209</v>
      </c>
      <c r="I114" s="67" t="s">
        <v>823</v>
      </c>
      <c r="J114" s="67" t="s">
        <v>824</v>
      </c>
      <c r="K114" s="67" t="s">
        <v>824</v>
      </c>
      <c r="L114" s="68" t="s">
        <v>600</v>
      </c>
    </row>
    <row r="115" ht="15.75" customHeight="1">
      <c r="A115" s="66">
        <v>147937.0</v>
      </c>
      <c r="B115" s="67" t="s">
        <v>274</v>
      </c>
      <c r="C115" s="67" t="s">
        <v>217</v>
      </c>
      <c r="D115" s="67" t="s">
        <v>170</v>
      </c>
      <c r="E115" s="67" t="s">
        <v>170</v>
      </c>
      <c r="F115" s="67" t="s">
        <v>256</v>
      </c>
      <c r="G115" s="67" t="s">
        <v>208</v>
      </c>
      <c r="H115" s="67" t="s">
        <v>209</v>
      </c>
      <c r="I115" s="67" t="s">
        <v>825</v>
      </c>
      <c r="J115" s="67" t="s">
        <v>826</v>
      </c>
      <c r="K115" s="67" t="s">
        <v>827</v>
      </c>
      <c r="L115" s="14" t="s">
        <v>613</v>
      </c>
    </row>
    <row r="116" ht="15.75" customHeight="1">
      <c r="A116" s="66">
        <v>3017.0</v>
      </c>
      <c r="B116" s="67" t="s">
        <v>265</v>
      </c>
      <c r="C116" s="67" t="s">
        <v>217</v>
      </c>
      <c r="D116" s="67" t="s">
        <v>194</v>
      </c>
      <c r="E116" s="67" t="s">
        <v>170</v>
      </c>
      <c r="F116" s="67" t="s">
        <v>170</v>
      </c>
      <c r="G116" s="67" t="s">
        <v>246</v>
      </c>
      <c r="H116" s="67" t="s">
        <v>247</v>
      </c>
      <c r="I116" s="67" t="s">
        <v>828</v>
      </c>
      <c r="J116" s="67" t="s">
        <v>829</v>
      </c>
      <c r="K116" s="67" t="s">
        <v>630</v>
      </c>
      <c r="L116" s="14" t="s">
        <v>613</v>
      </c>
    </row>
    <row r="117" ht="15.75" customHeight="1">
      <c r="A117" s="66">
        <v>354302.0</v>
      </c>
      <c r="B117" s="67" t="s">
        <v>167</v>
      </c>
      <c r="C117" s="67" t="s">
        <v>168</v>
      </c>
      <c r="D117" s="67" t="s">
        <v>170</v>
      </c>
      <c r="E117" s="67" t="s">
        <v>170</v>
      </c>
      <c r="F117" s="67" t="s">
        <v>170</v>
      </c>
      <c r="G117" s="67" t="s">
        <v>299</v>
      </c>
      <c r="H117" s="67" t="s">
        <v>259</v>
      </c>
      <c r="I117" s="67" t="s">
        <v>830</v>
      </c>
      <c r="J117" s="67" t="s">
        <v>831</v>
      </c>
      <c r="K117" s="67" t="s">
        <v>581</v>
      </c>
      <c r="L117" s="68" t="s">
        <v>578</v>
      </c>
    </row>
    <row r="118" ht="15.75" customHeight="1">
      <c r="A118" s="66">
        <v>228110.0</v>
      </c>
      <c r="B118" s="67" t="s">
        <v>243</v>
      </c>
      <c r="C118" s="67" t="s">
        <v>217</v>
      </c>
      <c r="D118" s="67" t="s">
        <v>170</v>
      </c>
      <c r="E118" s="67" t="s">
        <v>170</v>
      </c>
      <c r="F118" s="67" t="s">
        <v>170</v>
      </c>
      <c r="G118" s="67" t="s">
        <v>246</v>
      </c>
      <c r="H118" s="67" t="s">
        <v>247</v>
      </c>
      <c r="I118" s="67" t="s">
        <v>832</v>
      </c>
      <c r="J118" s="67" t="s">
        <v>833</v>
      </c>
      <c r="K118" s="67" t="s">
        <v>708</v>
      </c>
      <c r="L118" s="14" t="s">
        <v>587</v>
      </c>
    </row>
    <row r="119" ht="15.75" customHeight="1">
      <c r="A119" s="66">
        <v>25714.0</v>
      </c>
      <c r="B119" s="67" t="s">
        <v>203</v>
      </c>
      <c r="C119" s="67" t="s">
        <v>168</v>
      </c>
      <c r="D119" s="67" t="s">
        <v>194</v>
      </c>
      <c r="E119" s="67" t="s">
        <v>172</v>
      </c>
      <c r="F119" s="67" t="s">
        <v>170</v>
      </c>
      <c r="G119" s="67" t="s">
        <v>208</v>
      </c>
      <c r="H119" s="67" t="s">
        <v>209</v>
      </c>
      <c r="I119" s="67" t="s">
        <v>834</v>
      </c>
      <c r="J119" s="67" t="s">
        <v>835</v>
      </c>
      <c r="K119" s="67" t="s">
        <v>836</v>
      </c>
      <c r="L119" s="68" t="s">
        <v>578</v>
      </c>
    </row>
    <row r="120" ht="15.75" customHeight="1">
      <c r="A120" s="66">
        <v>25714.0</v>
      </c>
      <c r="B120" s="67" t="s">
        <v>203</v>
      </c>
      <c r="C120" s="67" t="s">
        <v>168</v>
      </c>
      <c r="D120" s="67" t="s">
        <v>194</v>
      </c>
      <c r="E120" s="67" t="s">
        <v>172</v>
      </c>
      <c r="F120" s="67" t="s">
        <v>170</v>
      </c>
      <c r="G120" s="67" t="s">
        <v>208</v>
      </c>
      <c r="H120" s="67" t="s">
        <v>209</v>
      </c>
      <c r="I120" s="67" t="s">
        <v>837</v>
      </c>
      <c r="J120" s="67" t="s">
        <v>835</v>
      </c>
      <c r="K120" s="67" t="s">
        <v>836</v>
      </c>
      <c r="L120" s="68" t="s">
        <v>578</v>
      </c>
    </row>
    <row r="121" ht="15.75" customHeight="1">
      <c r="A121" s="66">
        <v>147937.0</v>
      </c>
      <c r="B121" s="67" t="s">
        <v>274</v>
      </c>
      <c r="C121" s="67" t="s">
        <v>217</v>
      </c>
      <c r="D121" s="67" t="s">
        <v>170</v>
      </c>
      <c r="E121" s="67" t="s">
        <v>170</v>
      </c>
      <c r="F121" s="67" t="s">
        <v>256</v>
      </c>
      <c r="G121" s="67" t="s">
        <v>208</v>
      </c>
      <c r="H121" s="67" t="s">
        <v>209</v>
      </c>
      <c r="I121" s="67" t="s">
        <v>838</v>
      </c>
      <c r="J121" s="67" t="s">
        <v>839</v>
      </c>
      <c r="K121" s="67" t="s">
        <v>840</v>
      </c>
      <c r="L121" s="14" t="s">
        <v>622</v>
      </c>
    </row>
    <row r="122" ht="15.75" customHeight="1">
      <c r="A122" s="66">
        <v>8679.0</v>
      </c>
      <c r="B122" s="67" t="s">
        <v>328</v>
      </c>
      <c r="C122" s="67" t="s">
        <v>217</v>
      </c>
      <c r="D122" s="67" t="s">
        <v>194</v>
      </c>
      <c r="E122" s="67" t="s">
        <v>196</v>
      </c>
      <c r="F122" s="67" t="s">
        <v>332</v>
      </c>
      <c r="G122" s="67" t="s">
        <v>198</v>
      </c>
      <c r="H122" s="67" t="s">
        <v>186</v>
      </c>
      <c r="I122" s="67" t="s">
        <v>841</v>
      </c>
      <c r="J122" s="67" t="s">
        <v>842</v>
      </c>
      <c r="K122" s="67" t="s">
        <v>840</v>
      </c>
      <c r="L122" s="14" t="s">
        <v>622</v>
      </c>
    </row>
    <row r="123" ht="15.75" customHeight="1">
      <c r="A123" s="66">
        <v>315641.0</v>
      </c>
      <c r="B123" s="67" t="s">
        <v>203</v>
      </c>
      <c r="C123" s="67" t="s">
        <v>168</v>
      </c>
      <c r="D123" s="67" t="s">
        <v>194</v>
      </c>
      <c r="E123" s="67" t="s">
        <v>196</v>
      </c>
      <c r="F123" s="67" t="s">
        <v>170</v>
      </c>
      <c r="G123" s="67" t="s">
        <v>198</v>
      </c>
      <c r="H123" s="67" t="s">
        <v>186</v>
      </c>
      <c r="I123" s="67" t="s">
        <v>843</v>
      </c>
      <c r="J123" s="67" t="s">
        <v>844</v>
      </c>
      <c r="K123" s="67" t="s">
        <v>636</v>
      </c>
      <c r="L123" s="14" t="s">
        <v>637</v>
      </c>
    </row>
    <row r="124" ht="15.75" customHeight="1">
      <c r="A124" s="66">
        <v>8679.0</v>
      </c>
      <c r="B124" s="67" t="s">
        <v>328</v>
      </c>
      <c r="C124" s="67" t="s">
        <v>217</v>
      </c>
      <c r="D124" s="67" t="s">
        <v>194</v>
      </c>
      <c r="E124" s="67" t="s">
        <v>196</v>
      </c>
      <c r="F124" s="67" t="s">
        <v>332</v>
      </c>
      <c r="G124" s="67" t="s">
        <v>198</v>
      </c>
      <c r="H124" s="67" t="s">
        <v>186</v>
      </c>
      <c r="I124" s="67" t="s">
        <v>845</v>
      </c>
      <c r="J124" s="67" t="s">
        <v>846</v>
      </c>
      <c r="K124" s="67" t="s">
        <v>820</v>
      </c>
      <c r="L124" s="14" t="s">
        <v>622</v>
      </c>
    </row>
    <row r="125" ht="15.75" customHeight="1">
      <c r="A125" s="66">
        <v>31666.0</v>
      </c>
      <c r="B125" s="67" t="s">
        <v>167</v>
      </c>
      <c r="C125" s="67" t="s">
        <v>168</v>
      </c>
      <c r="D125" s="67" t="s">
        <v>194</v>
      </c>
      <c r="E125" s="67" t="s">
        <v>172</v>
      </c>
      <c r="F125" s="67" t="s">
        <v>170</v>
      </c>
      <c r="G125" s="67" t="s">
        <v>372</v>
      </c>
      <c r="H125" s="67" t="s">
        <v>186</v>
      </c>
      <c r="I125" s="67" t="s">
        <v>847</v>
      </c>
      <c r="J125" s="67" t="s">
        <v>616</v>
      </c>
      <c r="K125" s="67" t="s">
        <v>616</v>
      </c>
      <c r="L125" s="68" t="s">
        <v>600</v>
      </c>
    </row>
    <row r="126" ht="15.75" customHeight="1">
      <c r="A126" s="66">
        <v>8679.0</v>
      </c>
      <c r="B126" s="67" t="s">
        <v>328</v>
      </c>
      <c r="C126" s="67" t="s">
        <v>217</v>
      </c>
      <c r="D126" s="67" t="s">
        <v>194</v>
      </c>
      <c r="E126" s="67" t="s">
        <v>196</v>
      </c>
      <c r="F126" s="67" t="s">
        <v>332</v>
      </c>
      <c r="G126" s="67" t="s">
        <v>198</v>
      </c>
      <c r="H126" s="67" t="s">
        <v>186</v>
      </c>
      <c r="I126" s="67" t="s">
        <v>848</v>
      </c>
      <c r="J126" s="67" t="s">
        <v>849</v>
      </c>
      <c r="K126" s="67" t="s">
        <v>616</v>
      </c>
      <c r="L126" s="68" t="s">
        <v>600</v>
      </c>
    </row>
    <row r="127" ht="15.75" customHeight="1">
      <c r="A127" s="66">
        <v>7953.0</v>
      </c>
      <c r="B127" s="67" t="s">
        <v>167</v>
      </c>
      <c r="C127" s="67" t="s">
        <v>168</v>
      </c>
      <c r="D127" s="67" t="s">
        <v>194</v>
      </c>
      <c r="E127" s="67" t="s">
        <v>196</v>
      </c>
      <c r="F127" s="67" t="s">
        <v>170</v>
      </c>
      <c r="G127" s="67" t="s">
        <v>299</v>
      </c>
      <c r="H127" s="67" t="s">
        <v>259</v>
      </c>
      <c r="I127" s="67" t="s">
        <v>850</v>
      </c>
      <c r="J127" s="67" t="s">
        <v>851</v>
      </c>
      <c r="K127" s="67" t="s">
        <v>851</v>
      </c>
      <c r="L127" s="14" t="s">
        <v>622</v>
      </c>
    </row>
    <row r="128" ht="15.75" customHeight="1">
      <c r="A128" s="66">
        <v>25714.0</v>
      </c>
      <c r="B128" s="67" t="s">
        <v>203</v>
      </c>
      <c r="C128" s="67" t="s">
        <v>168</v>
      </c>
      <c r="D128" s="67" t="s">
        <v>194</v>
      </c>
      <c r="E128" s="67" t="s">
        <v>172</v>
      </c>
      <c r="F128" s="67" t="s">
        <v>170</v>
      </c>
      <c r="G128" s="67" t="s">
        <v>208</v>
      </c>
      <c r="H128" s="67" t="s">
        <v>209</v>
      </c>
      <c r="I128" s="67" t="s">
        <v>852</v>
      </c>
      <c r="J128" s="67" t="s">
        <v>853</v>
      </c>
      <c r="K128" s="67" t="s">
        <v>663</v>
      </c>
      <c r="L128" s="14" t="s">
        <v>664</v>
      </c>
    </row>
    <row r="129" ht="15.75" customHeight="1">
      <c r="A129" s="66">
        <v>127213.0</v>
      </c>
      <c r="B129" s="67" t="s">
        <v>274</v>
      </c>
      <c r="C129" s="67" t="s">
        <v>217</v>
      </c>
      <c r="D129" s="67" t="s">
        <v>170</v>
      </c>
      <c r="E129" s="67" t="s">
        <v>170</v>
      </c>
      <c r="F129" s="67" t="s">
        <v>287</v>
      </c>
      <c r="G129" s="67" t="s">
        <v>289</v>
      </c>
      <c r="H129" s="67" t="s">
        <v>247</v>
      </c>
      <c r="I129" s="67" t="s">
        <v>854</v>
      </c>
      <c r="J129" s="67" t="s">
        <v>855</v>
      </c>
      <c r="K129" s="67" t="s">
        <v>855</v>
      </c>
      <c r="L129" s="14" t="s">
        <v>664</v>
      </c>
    </row>
    <row r="130" ht="15.75" customHeight="1">
      <c r="A130" s="66">
        <v>147937.0</v>
      </c>
      <c r="B130" s="67" t="s">
        <v>274</v>
      </c>
      <c r="C130" s="67" t="s">
        <v>217</v>
      </c>
      <c r="D130" s="67" t="s">
        <v>170</v>
      </c>
      <c r="E130" s="67" t="s">
        <v>170</v>
      </c>
      <c r="F130" s="67" t="s">
        <v>256</v>
      </c>
      <c r="G130" s="67" t="s">
        <v>208</v>
      </c>
      <c r="H130" s="67" t="s">
        <v>209</v>
      </c>
      <c r="I130" s="67" t="s">
        <v>856</v>
      </c>
      <c r="J130" s="67" t="s">
        <v>857</v>
      </c>
      <c r="K130" s="67" t="s">
        <v>858</v>
      </c>
      <c r="L130" s="14" t="s">
        <v>664</v>
      </c>
    </row>
    <row r="131" ht="15.75" customHeight="1">
      <c r="A131" s="66">
        <v>147937.0</v>
      </c>
      <c r="B131" s="67" t="s">
        <v>274</v>
      </c>
      <c r="C131" s="67" t="s">
        <v>217</v>
      </c>
      <c r="D131" s="67" t="s">
        <v>170</v>
      </c>
      <c r="E131" s="67" t="s">
        <v>170</v>
      </c>
      <c r="F131" s="67" t="s">
        <v>256</v>
      </c>
      <c r="G131" s="67" t="s">
        <v>208</v>
      </c>
      <c r="H131" s="67" t="s">
        <v>209</v>
      </c>
      <c r="I131" s="67" t="s">
        <v>859</v>
      </c>
      <c r="J131" s="67" t="s">
        <v>860</v>
      </c>
      <c r="K131" s="67" t="s">
        <v>861</v>
      </c>
      <c r="L131" s="14" t="s">
        <v>664</v>
      </c>
    </row>
    <row r="132" ht="15.75" customHeight="1">
      <c r="A132" s="66">
        <v>354302.0</v>
      </c>
      <c r="B132" s="67" t="s">
        <v>167</v>
      </c>
      <c r="C132" s="67" t="s">
        <v>168</v>
      </c>
      <c r="D132" s="67" t="s">
        <v>170</v>
      </c>
      <c r="E132" s="67" t="s">
        <v>170</v>
      </c>
      <c r="F132" s="67" t="s">
        <v>170</v>
      </c>
      <c r="G132" s="67" t="s">
        <v>299</v>
      </c>
      <c r="H132" s="67" t="s">
        <v>259</v>
      </c>
      <c r="I132" s="67" t="s">
        <v>862</v>
      </c>
      <c r="J132" s="67" t="s">
        <v>863</v>
      </c>
      <c r="K132" s="67" t="s">
        <v>581</v>
      </c>
      <c r="L132" s="68" t="s">
        <v>578</v>
      </c>
    </row>
    <row r="133" ht="15.75" customHeight="1">
      <c r="A133" s="66">
        <v>8679.0</v>
      </c>
      <c r="B133" s="67" t="s">
        <v>328</v>
      </c>
      <c r="C133" s="67" t="s">
        <v>217</v>
      </c>
      <c r="D133" s="67" t="s">
        <v>194</v>
      </c>
      <c r="E133" s="67" t="s">
        <v>196</v>
      </c>
      <c r="F133" s="67" t="s">
        <v>332</v>
      </c>
      <c r="G133" s="67" t="s">
        <v>198</v>
      </c>
      <c r="H133" s="67" t="s">
        <v>186</v>
      </c>
      <c r="I133" s="67" t="s">
        <v>864</v>
      </c>
      <c r="J133" s="67" t="s">
        <v>865</v>
      </c>
      <c r="K133" s="67" t="s">
        <v>674</v>
      </c>
      <c r="L133" s="14" t="s">
        <v>637</v>
      </c>
    </row>
    <row r="134" ht="15.75" customHeight="1">
      <c r="A134" s="66">
        <v>127213.0</v>
      </c>
      <c r="B134" s="67" t="s">
        <v>274</v>
      </c>
      <c r="C134" s="67" t="s">
        <v>217</v>
      </c>
      <c r="D134" s="67" t="s">
        <v>170</v>
      </c>
      <c r="E134" s="67" t="s">
        <v>170</v>
      </c>
      <c r="F134" s="67" t="s">
        <v>287</v>
      </c>
      <c r="G134" s="67" t="s">
        <v>289</v>
      </c>
      <c r="H134" s="67" t="s">
        <v>247</v>
      </c>
      <c r="I134" s="67" t="s">
        <v>866</v>
      </c>
      <c r="J134" s="67" t="s">
        <v>867</v>
      </c>
      <c r="K134" s="67" t="s">
        <v>867</v>
      </c>
      <c r="L134" s="14" t="s">
        <v>637</v>
      </c>
    </row>
    <row r="135" ht="15.75" customHeight="1">
      <c r="A135" s="66">
        <v>315641.0</v>
      </c>
      <c r="B135" s="67" t="s">
        <v>203</v>
      </c>
      <c r="C135" s="67" t="s">
        <v>168</v>
      </c>
      <c r="D135" s="67" t="s">
        <v>194</v>
      </c>
      <c r="E135" s="67" t="s">
        <v>196</v>
      </c>
      <c r="F135" s="67" t="s">
        <v>170</v>
      </c>
      <c r="G135" s="67" t="s">
        <v>198</v>
      </c>
      <c r="H135" s="67" t="s">
        <v>186</v>
      </c>
      <c r="I135" s="67" t="s">
        <v>868</v>
      </c>
      <c r="J135" s="67" t="s">
        <v>869</v>
      </c>
      <c r="K135" s="67" t="s">
        <v>867</v>
      </c>
      <c r="L135" s="14" t="s">
        <v>637</v>
      </c>
    </row>
    <row r="136" ht="15.75" customHeight="1">
      <c r="A136" s="66">
        <v>3017.0</v>
      </c>
      <c r="B136" s="67" t="s">
        <v>265</v>
      </c>
      <c r="C136" s="67" t="s">
        <v>217</v>
      </c>
      <c r="D136" s="67" t="s">
        <v>194</v>
      </c>
      <c r="E136" s="67" t="s">
        <v>170</v>
      </c>
      <c r="F136" s="67" t="s">
        <v>170</v>
      </c>
      <c r="G136" s="67" t="s">
        <v>246</v>
      </c>
      <c r="H136" s="67" t="s">
        <v>247</v>
      </c>
      <c r="I136" s="67" t="s">
        <v>870</v>
      </c>
      <c r="J136" s="67" t="s">
        <v>871</v>
      </c>
      <c r="K136" s="67" t="s">
        <v>871</v>
      </c>
      <c r="L136" s="14" t="s">
        <v>698</v>
      </c>
    </row>
    <row r="137" ht="15.75" customHeight="1">
      <c r="A137" s="66">
        <v>240325.0</v>
      </c>
      <c r="B137" s="67" t="s">
        <v>216</v>
      </c>
      <c r="C137" s="67" t="s">
        <v>217</v>
      </c>
      <c r="D137" s="67" t="s">
        <v>194</v>
      </c>
      <c r="E137" s="67" t="s">
        <v>172</v>
      </c>
      <c r="F137" s="67" t="s">
        <v>170</v>
      </c>
      <c r="G137" s="67" t="s">
        <v>221</v>
      </c>
      <c r="H137" s="67" t="s">
        <v>222</v>
      </c>
      <c r="I137" s="67" t="s">
        <v>872</v>
      </c>
      <c r="J137" s="67" t="s">
        <v>873</v>
      </c>
      <c r="K137" s="67" t="s">
        <v>657</v>
      </c>
      <c r="L137" s="14" t="s">
        <v>637</v>
      </c>
    </row>
    <row r="138" ht="15.75" customHeight="1">
      <c r="A138" s="66">
        <v>31614.0</v>
      </c>
      <c r="B138" s="67" t="s">
        <v>192</v>
      </c>
      <c r="C138" s="67" t="s">
        <v>168</v>
      </c>
      <c r="D138" s="67" t="s">
        <v>194</v>
      </c>
      <c r="E138" s="67" t="s">
        <v>196</v>
      </c>
      <c r="F138" s="67" t="s">
        <v>170</v>
      </c>
      <c r="G138" s="67" t="s">
        <v>198</v>
      </c>
      <c r="H138" s="67" t="s">
        <v>186</v>
      </c>
      <c r="I138" s="67" t="s">
        <v>874</v>
      </c>
      <c r="J138" s="67" t="s">
        <v>875</v>
      </c>
      <c r="K138" s="67" t="s">
        <v>876</v>
      </c>
      <c r="L138" s="14" t="s">
        <v>698</v>
      </c>
    </row>
    <row r="139" ht="15.75" customHeight="1">
      <c r="A139" s="66">
        <v>8679.0</v>
      </c>
      <c r="B139" s="67" t="s">
        <v>328</v>
      </c>
      <c r="C139" s="67" t="s">
        <v>217</v>
      </c>
      <c r="D139" s="67" t="s">
        <v>194</v>
      </c>
      <c r="E139" s="67" t="s">
        <v>196</v>
      </c>
      <c r="F139" s="67" t="s">
        <v>332</v>
      </c>
      <c r="G139" s="67" t="s">
        <v>198</v>
      </c>
      <c r="H139" s="67" t="s">
        <v>186</v>
      </c>
      <c r="I139" s="67" t="s">
        <v>877</v>
      </c>
      <c r="J139" s="67" t="s">
        <v>878</v>
      </c>
      <c r="K139" s="67" t="s">
        <v>879</v>
      </c>
      <c r="L139" s="68" t="s">
        <v>600</v>
      </c>
    </row>
    <row r="140" ht="15.75" customHeight="1">
      <c r="A140" s="66">
        <v>231273.0</v>
      </c>
      <c r="B140" s="67" t="s">
        <v>216</v>
      </c>
      <c r="C140" s="67" t="s">
        <v>217</v>
      </c>
      <c r="D140" s="67" t="s">
        <v>170</v>
      </c>
      <c r="E140" s="67" t="s">
        <v>254</v>
      </c>
      <c r="F140" s="67" t="s">
        <v>256</v>
      </c>
      <c r="G140" s="67" t="s">
        <v>258</v>
      </c>
      <c r="H140" s="67" t="s">
        <v>259</v>
      </c>
      <c r="I140" s="67" t="s">
        <v>880</v>
      </c>
      <c r="J140" s="67" t="s">
        <v>881</v>
      </c>
      <c r="K140" s="67" t="s">
        <v>820</v>
      </c>
      <c r="L140" s="14" t="s">
        <v>622</v>
      </c>
    </row>
    <row r="141" ht="15.75" customHeight="1">
      <c r="A141" s="66">
        <v>194180.0</v>
      </c>
      <c r="B141" s="67" t="s">
        <v>274</v>
      </c>
      <c r="C141" s="67" t="s">
        <v>217</v>
      </c>
      <c r="D141" s="67" t="s">
        <v>276</v>
      </c>
      <c r="E141" s="67" t="s">
        <v>170</v>
      </c>
      <c r="F141" s="67" t="s">
        <v>170</v>
      </c>
      <c r="G141" s="67" t="s">
        <v>208</v>
      </c>
      <c r="H141" s="67" t="s">
        <v>209</v>
      </c>
      <c r="I141" s="67" t="s">
        <v>882</v>
      </c>
      <c r="J141" s="67" t="s">
        <v>883</v>
      </c>
      <c r="K141" s="67" t="s">
        <v>820</v>
      </c>
      <c r="L141" s="14" t="s">
        <v>622</v>
      </c>
    </row>
    <row r="142" ht="15.75" customHeight="1">
      <c r="A142" s="66">
        <v>147937.0</v>
      </c>
      <c r="B142" s="67" t="s">
        <v>274</v>
      </c>
      <c r="C142" s="67" t="s">
        <v>217</v>
      </c>
      <c r="D142" s="67" t="s">
        <v>170</v>
      </c>
      <c r="E142" s="67" t="s">
        <v>170</v>
      </c>
      <c r="F142" s="67" t="s">
        <v>256</v>
      </c>
      <c r="G142" s="67" t="s">
        <v>208</v>
      </c>
      <c r="H142" s="67" t="s">
        <v>209</v>
      </c>
      <c r="I142" s="67" t="s">
        <v>884</v>
      </c>
      <c r="J142" s="67" t="s">
        <v>883</v>
      </c>
      <c r="K142" s="67" t="s">
        <v>820</v>
      </c>
      <c r="L142" s="14" t="s">
        <v>622</v>
      </c>
    </row>
    <row r="143" ht="15.75" customHeight="1">
      <c r="A143" s="66">
        <v>25714.0</v>
      </c>
      <c r="B143" s="67" t="s">
        <v>203</v>
      </c>
      <c r="C143" s="67" t="s">
        <v>168</v>
      </c>
      <c r="D143" s="67" t="s">
        <v>194</v>
      </c>
      <c r="E143" s="67" t="s">
        <v>172</v>
      </c>
      <c r="F143" s="67" t="s">
        <v>170</v>
      </c>
      <c r="G143" s="67" t="s">
        <v>208</v>
      </c>
      <c r="H143" s="67" t="s">
        <v>209</v>
      </c>
      <c r="I143" s="67" t="s">
        <v>885</v>
      </c>
      <c r="J143" s="67" t="s">
        <v>886</v>
      </c>
      <c r="K143" s="67" t="s">
        <v>820</v>
      </c>
      <c r="L143" s="14" t="s">
        <v>622</v>
      </c>
    </row>
    <row r="144" ht="15.75" customHeight="1">
      <c r="A144" s="66">
        <v>27494.0</v>
      </c>
      <c r="B144" s="67" t="s">
        <v>274</v>
      </c>
      <c r="C144" s="67" t="s">
        <v>217</v>
      </c>
      <c r="D144" s="67" t="s">
        <v>170</v>
      </c>
      <c r="E144" s="67" t="s">
        <v>172</v>
      </c>
      <c r="F144" s="67" t="s">
        <v>170</v>
      </c>
      <c r="G144" s="67" t="s">
        <v>464</v>
      </c>
      <c r="H144" s="67" t="s">
        <v>259</v>
      </c>
      <c r="I144" s="67" t="s">
        <v>887</v>
      </c>
      <c r="J144" s="67" t="s">
        <v>888</v>
      </c>
      <c r="K144" s="67" t="s">
        <v>820</v>
      </c>
      <c r="L144" s="14" t="s">
        <v>622</v>
      </c>
    </row>
    <row r="145" ht="15.75" customHeight="1">
      <c r="A145" s="66">
        <v>354302.0</v>
      </c>
      <c r="B145" s="67" t="s">
        <v>167</v>
      </c>
      <c r="C145" s="67" t="s">
        <v>168</v>
      </c>
      <c r="D145" s="67" t="s">
        <v>170</v>
      </c>
      <c r="E145" s="67" t="s">
        <v>170</v>
      </c>
      <c r="F145" s="67" t="s">
        <v>170</v>
      </c>
      <c r="G145" s="67" t="s">
        <v>299</v>
      </c>
      <c r="H145" s="67" t="s">
        <v>259</v>
      </c>
      <c r="I145" s="67" t="s">
        <v>889</v>
      </c>
      <c r="J145" s="67" t="s">
        <v>890</v>
      </c>
      <c r="K145" s="67" t="s">
        <v>648</v>
      </c>
      <c r="L145" s="14" t="s">
        <v>613</v>
      </c>
    </row>
    <row r="146" ht="15.75" customHeight="1">
      <c r="A146" s="66">
        <v>354302.0</v>
      </c>
      <c r="B146" s="67" t="s">
        <v>167</v>
      </c>
      <c r="C146" s="67" t="s">
        <v>168</v>
      </c>
      <c r="D146" s="67" t="s">
        <v>170</v>
      </c>
      <c r="E146" s="67" t="s">
        <v>170</v>
      </c>
      <c r="F146" s="67" t="s">
        <v>170</v>
      </c>
      <c r="G146" s="67" t="s">
        <v>299</v>
      </c>
      <c r="H146" s="67" t="s">
        <v>259</v>
      </c>
      <c r="I146" s="67" t="s">
        <v>891</v>
      </c>
      <c r="J146" s="67" t="s">
        <v>892</v>
      </c>
      <c r="K146" s="67" t="s">
        <v>892</v>
      </c>
      <c r="L146" s="14" t="s">
        <v>587</v>
      </c>
    </row>
    <row r="147" ht="15.75" customHeight="1">
      <c r="A147" s="66">
        <v>3017.0</v>
      </c>
      <c r="B147" s="67" t="s">
        <v>265</v>
      </c>
      <c r="C147" s="67" t="s">
        <v>217</v>
      </c>
      <c r="D147" s="67" t="s">
        <v>194</v>
      </c>
      <c r="E147" s="67" t="s">
        <v>170</v>
      </c>
      <c r="F147" s="67" t="s">
        <v>170</v>
      </c>
      <c r="G147" s="67" t="s">
        <v>246</v>
      </c>
      <c r="H147" s="67" t="s">
        <v>247</v>
      </c>
      <c r="I147" s="67" t="s">
        <v>893</v>
      </c>
      <c r="J147" s="67" t="s">
        <v>894</v>
      </c>
      <c r="K147" s="67" t="s">
        <v>895</v>
      </c>
      <c r="L147" s="14" t="s">
        <v>698</v>
      </c>
    </row>
    <row r="148" ht="15.75" customHeight="1">
      <c r="A148" s="66">
        <v>25637.0</v>
      </c>
      <c r="B148" s="67" t="s">
        <v>167</v>
      </c>
      <c r="C148" s="67" t="s">
        <v>168</v>
      </c>
      <c r="D148" s="67" t="s">
        <v>170</v>
      </c>
      <c r="E148" s="67" t="s">
        <v>172</v>
      </c>
      <c r="F148" s="67" t="s">
        <v>170</v>
      </c>
      <c r="G148" s="67" t="s">
        <v>174</v>
      </c>
      <c r="H148" s="67" t="s">
        <v>175</v>
      </c>
      <c r="I148" s="67" t="s">
        <v>896</v>
      </c>
      <c r="J148" s="67" t="s">
        <v>897</v>
      </c>
      <c r="K148" s="67" t="s">
        <v>769</v>
      </c>
      <c r="L148" s="14" t="s">
        <v>637</v>
      </c>
    </row>
    <row r="149" ht="15.75" customHeight="1">
      <c r="A149" s="66">
        <v>25637.0</v>
      </c>
      <c r="B149" s="67" t="s">
        <v>167</v>
      </c>
      <c r="C149" s="67" t="s">
        <v>168</v>
      </c>
      <c r="D149" s="67" t="s">
        <v>170</v>
      </c>
      <c r="E149" s="67" t="s">
        <v>172</v>
      </c>
      <c r="F149" s="67" t="s">
        <v>170</v>
      </c>
      <c r="G149" s="67" t="s">
        <v>174</v>
      </c>
      <c r="H149" s="67" t="s">
        <v>175</v>
      </c>
      <c r="I149" s="67" t="s">
        <v>898</v>
      </c>
      <c r="J149" s="67" t="s">
        <v>897</v>
      </c>
      <c r="K149" s="67" t="s">
        <v>769</v>
      </c>
      <c r="L149" s="14" t="s">
        <v>637</v>
      </c>
    </row>
    <row r="150" ht="15.75" customHeight="1">
      <c r="A150" s="66">
        <v>25637.0</v>
      </c>
      <c r="B150" s="67" t="s">
        <v>167</v>
      </c>
      <c r="C150" s="67" t="s">
        <v>168</v>
      </c>
      <c r="D150" s="67" t="s">
        <v>170</v>
      </c>
      <c r="E150" s="67" t="s">
        <v>172</v>
      </c>
      <c r="F150" s="67" t="s">
        <v>170</v>
      </c>
      <c r="G150" s="67" t="s">
        <v>174</v>
      </c>
      <c r="H150" s="67" t="s">
        <v>175</v>
      </c>
      <c r="I150" s="67" t="s">
        <v>899</v>
      </c>
      <c r="J150" s="67" t="s">
        <v>900</v>
      </c>
      <c r="K150" s="67" t="s">
        <v>657</v>
      </c>
      <c r="L150" s="14" t="s">
        <v>637</v>
      </c>
    </row>
    <row r="151" ht="15.75" customHeight="1">
      <c r="A151" s="66">
        <v>31614.0</v>
      </c>
      <c r="B151" s="67" t="s">
        <v>192</v>
      </c>
      <c r="C151" s="67" t="s">
        <v>168</v>
      </c>
      <c r="D151" s="67" t="s">
        <v>194</v>
      </c>
      <c r="E151" s="67" t="s">
        <v>196</v>
      </c>
      <c r="F151" s="67" t="s">
        <v>170</v>
      </c>
      <c r="G151" s="67" t="s">
        <v>198</v>
      </c>
      <c r="H151" s="67" t="s">
        <v>186</v>
      </c>
      <c r="I151" s="67" t="s">
        <v>901</v>
      </c>
      <c r="J151" s="67" t="s">
        <v>902</v>
      </c>
      <c r="K151" s="67" t="s">
        <v>895</v>
      </c>
      <c r="L151" s="14" t="s">
        <v>698</v>
      </c>
    </row>
    <row r="152" ht="15.75" customHeight="1">
      <c r="A152" s="66">
        <v>231273.0</v>
      </c>
      <c r="B152" s="67" t="s">
        <v>216</v>
      </c>
      <c r="C152" s="67" t="s">
        <v>217</v>
      </c>
      <c r="D152" s="67" t="s">
        <v>170</v>
      </c>
      <c r="E152" s="67" t="s">
        <v>254</v>
      </c>
      <c r="F152" s="67" t="s">
        <v>256</v>
      </c>
      <c r="G152" s="67" t="s">
        <v>258</v>
      </c>
      <c r="H152" s="67" t="s">
        <v>259</v>
      </c>
      <c r="I152" s="67" t="s">
        <v>903</v>
      </c>
      <c r="J152" s="67" t="s">
        <v>904</v>
      </c>
      <c r="K152" s="67" t="s">
        <v>904</v>
      </c>
      <c r="L152" s="14" t="s">
        <v>622</v>
      </c>
    </row>
    <row r="153" ht="15.75" customHeight="1">
      <c r="A153" s="66">
        <v>8679.0</v>
      </c>
      <c r="B153" s="67" t="s">
        <v>328</v>
      </c>
      <c r="C153" s="67" t="s">
        <v>217</v>
      </c>
      <c r="D153" s="67" t="s">
        <v>194</v>
      </c>
      <c r="E153" s="67" t="s">
        <v>196</v>
      </c>
      <c r="F153" s="67" t="s">
        <v>332</v>
      </c>
      <c r="G153" s="67" t="s">
        <v>198</v>
      </c>
      <c r="H153" s="67" t="s">
        <v>186</v>
      </c>
      <c r="I153" s="67" t="s">
        <v>905</v>
      </c>
      <c r="J153" s="67" t="s">
        <v>906</v>
      </c>
      <c r="K153" s="67" t="s">
        <v>861</v>
      </c>
      <c r="L153" s="14" t="s">
        <v>664</v>
      </c>
    </row>
    <row r="154" ht="15.75" customHeight="1">
      <c r="A154" s="66">
        <v>14189.0</v>
      </c>
      <c r="B154" s="67" t="s">
        <v>265</v>
      </c>
      <c r="C154" s="67" t="s">
        <v>217</v>
      </c>
      <c r="D154" s="67" t="s">
        <v>194</v>
      </c>
      <c r="E154" s="67" t="s">
        <v>170</v>
      </c>
      <c r="F154" s="67" t="s">
        <v>170</v>
      </c>
      <c r="G154" s="67" t="s">
        <v>246</v>
      </c>
      <c r="H154" s="67" t="s">
        <v>247</v>
      </c>
      <c r="I154" s="67" t="s">
        <v>907</v>
      </c>
      <c r="J154" s="67" t="s">
        <v>908</v>
      </c>
      <c r="K154" s="67" t="s">
        <v>742</v>
      </c>
      <c r="L154" s="14" t="s">
        <v>613</v>
      </c>
    </row>
    <row r="155" ht="15.75" customHeight="1">
      <c r="A155" s="66">
        <v>354302.0</v>
      </c>
      <c r="B155" s="67" t="s">
        <v>167</v>
      </c>
      <c r="C155" s="67" t="s">
        <v>168</v>
      </c>
      <c r="D155" s="67" t="s">
        <v>170</v>
      </c>
      <c r="E155" s="67" t="s">
        <v>170</v>
      </c>
      <c r="F155" s="67" t="s">
        <v>170</v>
      </c>
      <c r="G155" s="67" t="s">
        <v>299</v>
      </c>
      <c r="H155" s="67" t="s">
        <v>259</v>
      </c>
      <c r="I155" s="67" t="s">
        <v>909</v>
      </c>
      <c r="J155" s="67" t="s">
        <v>910</v>
      </c>
      <c r="K155" s="67" t="s">
        <v>651</v>
      </c>
      <c r="L155" s="14" t="s">
        <v>596</v>
      </c>
    </row>
    <row r="156" ht="15.75" customHeight="1">
      <c r="A156" s="66">
        <v>7953.0</v>
      </c>
      <c r="B156" s="67" t="s">
        <v>167</v>
      </c>
      <c r="C156" s="67" t="s">
        <v>168</v>
      </c>
      <c r="D156" s="67" t="s">
        <v>194</v>
      </c>
      <c r="E156" s="67" t="s">
        <v>196</v>
      </c>
      <c r="F156" s="67" t="s">
        <v>170</v>
      </c>
      <c r="G156" s="67" t="s">
        <v>299</v>
      </c>
      <c r="H156" s="67" t="s">
        <v>259</v>
      </c>
      <c r="I156" s="67" t="s">
        <v>911</v>
      </c>
      <c r="J156" s="67" t="s">
        <v>912</v>
      </c>
      <c r="K156" s="67" t="s">
        <v>667</v>
      </c>
      <c r="L156" s="14" t="s">
        <v>622</v>
      </c>
    </row>
    <row r="157" ht="15.75" customHeight="1">
      <c r="A157" s="66">
        <v>127213.0</v>
      </c>
      <c r="B157" s="67" t="s">
        <v>274</v>
      </c>
      <c r="C157" s="67" t="s">
        <v>217</v>
      </c>
      <c r="D157" s="67" t="s">
        <v>170</v>
      </c>
      <c r="E157" s="67" t="s">
        <v>170</v>
      </c>
      <c r="F157" s="67" t="s">
        <v>287</v>
      </c>
      <c r="G157" s="67" t="s">
        <v>289</v>
      </c>
      <c r="H157" s="67" t="s">
        <v>247</v>
      </c>
      <c r="I157" s="67" t="s">
        <v>913</v>
      </c>
      <c r="J157" s="67" t="s">
        <v>914</v>
      </c>
      <c r="K157" s="67" t="s">
        <v>836</v>
      </c>
      <c r="L157" s="68" t="s">
        <v>578</v>
      </c>
    </row>
    <row r="158" ht="15.75" customHeight="1">
      <c r="A158" s="66">
        <v>26673.0</v>
      </c>
      <c r="B158" s="67" t="s">
        <v>243</v>
      </c>
      <c r="C158" s="67" t="s">
        <v>217</v>
      </c>
      <c r="D158" s="67" t="s">
        <v>194</v>
      </c>
      <c r="E158" s="67" t="s">
        <v>170</v>
      </c>
      <c r="F158" s="67" t="s">
        <v>256</v>
      </c>
      <c r="G158" s="67" t="s">
        <v>246</v>
      </c>
      <c r="H158" s="67" t="s">
        <v>247</v>
      </c>
      <c r="I158" s="67" t="s">
        <v>915</v>
      </c>
      <c r="J158" s="67" t="s">
        <v>916</v>
      </c>
      <c r="K158" s="67" t="s">
        <v>681</v>
      </c>
      <c r="L158" s="14" t="s">
        <v>613</v>
      </c>
    </row>
    <row r="159" ht="15.75" customHeight="1">
      <c r="A159" s="66">
        <v>194180.0</v>
      </c>
      <c r="B159" s="67" t="s">
        <v>274</v>
      </c>
      <c r="C159" s="67" t="s">
        <v>217</v>
      </c>
      <c r="D159" s="67" t="s">
        <v>276</v>
      </c>
      <c r="E159" s="67" t="s">
        <v>170</v>
      </c>
      <c r="F159" s="67" t="s">
        <v>170</v>
      </c>
      <c r="G159" s="67" t="s">
        <v>208</v>
      </c>
      <c r="H159" s="67" t="s">
        <v>209</v>
      </c>
      <c r="I159" s="67" t="s">
        <v>917</v>
      </c>
      <c r="J159" s="67" t="s">
        <v>918</v>
      </c>
      <c r="K159" s="67" t="s">
        <v>919</v>
      </c>
      <c r="L159" s="14" t="s">
        <v>664</v>
      </c>
    </row>
    <row r="160" ht="15.75" customHeight="1">
      <c r="A160" s="66">
        <v>354302.0</v>
      </c>
      <c r="B160" s="67" t="s">
        <v>167</v>
      </c>
      <c r="C160" s="67" t="s">
        <v>168</v>
      </c>
      <c r="D160" s="67" t="s">
        <v>170</v>
      </c>
      <c r="E160" s="67" t="s">
        <v>170</v>
      </c>
      <c r="F160" s="67" t="s">
        <v>170</v>
      </c>
      <c r="G160" s="67" t="s">
        <v>299</v>
      </c>
      <c r="H160" s="67" t="s">
        <v>259</v>
      </c>
      <c r="I160" s="67" t="s">
        <v>920</v>
      </c>
      <c r="J160" s="67" t="s">
        <v>921</v>
      </c>
      <c r="K160" s="67" t="s">
        <v>827</v>
      </c>
      <c r="L160" s="14" t="s">
        <v>613</v>
      </c>
    </row>
    <row r="161" ht="15.75" customHeight="1">
      <c r="A161" s="66">
        <v>3017.0</v>
      </c>
      <c r="B161" s="67" t="s">
        <v>265</v>
      </c>
      <c r="C161" s="67" t="s">
        <v>217</v>
      </c>
      <c r="D161" s="67" t="s">
        <v>194</v>
      </c>
      <c r="E161" s="67" t="s">
        <v>170</v>
      </c>
      <c r="F161" s="67" t="s">
        <v>170</v>
      </c>
      <c r="G161" s="67" t="s">
        <v>246</v>
      </c>
      <c r="H161" s="67" t="s">
        <v>247</v>
      </c>
      <c r="I161" s="67" t="s">
        <v>922</v>
      </c>
      <c r="J161" s="67" t="s">
        <v>923</v>
      </c>
      <c r="K161" s="67" t="s">
        <v>923</v>
      </c>
      <c r="L161" s="14" t="s">
        <v>664</v>
      </c>
    </row>
    <row r="162" ht="15.75" customHeight="1">
      <c r="A162" s="66">
        <v>14189.0</v>
      </c>
      <c r="B162" s="67" t="s">
        <v>265</v>
      </c>
      <c r="C162" s="67" t="s">
        <v>217</v>
      </c>
      <c r="D162" s="67" t="s">
        <v>194</v>
      </c>
      <c r="E162" s="67" t="s">
        <v>170</v>
      </c>
      <c r="F162" s="67" t="s">
        <v>170</v>
      </c>
      <c r="G162" s="67" t="s">
        <v>246</v>
      </c>
      <c r="H162" s="67" t="s">
        <v>247</v>
      </c>
      <c r="I162" s="67" t="s">
        <v>924</v>
      </c>
      <c r="J162" s="67" t="s">
        <v>925</v>
      </c>
      <c r="K162" s="67" t="s">
        <v>742</v>
      </c>
      <c r="L162" s="14" t="s">
        <v>613</v>
      </c>
    </row>
    <row r="163" ht="15.75" customHeight="1">
      <c r="A163" s="66">
        <v>12641.0</v>
      </c>
      <c r="B163" s="67" t="s">
        <v>216</v>
      </c>
      <c r="C163" s="67" t="s">
        <v>217</v>
      </c>
      <c r="D163" s="67" t="s">
        <v>170</v>
      </c>
      <c r="E163" s="67" t="s">
        <v>170</v>
      </c>
      <c r="F163" s="67" t="s">
        <v>170</v>
      </c>
      <c r="G163" s="67" t="s">
        <v>322</v>
      </c>
      <c r="H163" s="67" t="s">
        <v>175</v>
      </c>
      <c r="I163" s="67" t="s">
        <v>926</v>
      </c>
      <c r="J163" s="67" t="s">
        <v>927</v>
      </c>
      <c r="K163" s="67" t="s">
        <v>787</v>
      </c>
      <c r="L163" s="68" t="s">
        <v>578</v>
      </c>
      <c r="M163" s="69"/>
    </row>
    <row r="164" ht="15.75" customHeight="1">
      <c r="A164" s="66">
        <v>194180.0</v>
      </c>
      <c r="B164" s="67" t="s">
        <v>274</v>
      </c>
      <c r="C164" s="67" t="s">
        <v>217</v>
      </c>
      <c r="D164" s="67" t="s">
        <v>276</v>
      </c>
      <c r="E164" s="67" t="s">
        <v>170</v>
      </c>
      <c r="F164" s="67" t="s">
        <v>170</v>
      </c>
      <c r="G164" s="67" t="s">
        <v>208</v>
      </c>
      <c r="H164" s="67" t="s">
        <v>209</v>
      </c>
      <c r="I164" s="67" t="s">
        <v>928</v>
      </c>
      <c r="J164" s="67" t="s">
        <v>929</v>
      </c>
      <c r="K164" s="67" t="s">
        <v>716</v>
      </c>
      <c r="L164" s="14" t="s">
        <v>664</v>
      </c>
      <c r="M164" s="69"/>
    </row>
    <row r="165" ht="15.75" customHeight="1">
      <c r="A165" s="66">
        <v>9878.0</v>
      </c>
      <c r="B165" s="67" t="s">
        <v>167</v>
      </c>
      <c r="C165" s="67" t="s">
        <v>168</v>
      </c>
      <c r="D165" s="67" t="s">
        <v>194</v>
      </c>
      <c r="E165" s="67" t="s">
        <v>196</v>
      </c>
      <c r="F165" s="67" t="s">
        <v>256</v>
      </c>
      <c r="G165" s="67" t="s">
        <v>221</v>
      </c>
      <c r="H165" s="67" t="s">
        <v>222</v>
      </c>
      <c r="I165" s="67" t="s">
        <v>930</v>
      </c>
      <c r="J165" s="67" t="s">
        <v>931</v>
      </c>
      <c r="K165" s="67" t="s">
        <v>817</v>
      </c>
      <c r="L165" s="68" t="s">
        <v>578</v>
      </c>
      <c r="M165" s="69"/>
    </row>
    <row r="166" ht="15.75" customHeight="1">
      <c r="A166" s="66">
        <v>41750.0</v>
      </c>
      <c r="B166" s="67" t="s">
        <v>265</v>
      </c>
      <c r="C166" s="67" t="s">
        <v>217</v>
      </c>
      <c r="D166" s="67" t="s">
        <v>170</v>
      </c>
      <c r="E166" s="67" t="s">
        <v>170</v>
      </c>
      <c r="F166" s="67" t="s">
        <v>170</v>
      </c>
      <c r="G166" s="67" t="s">
        <v>208</v>
      </c>
      <c r="H166" s="67" t="s">
        <v>209</v>
      </c>
      <c r="I166" s="67" t="s">
        <v>932</v>
      </c>
      <c r="J166" s="67" t="s">
        <v>933</v>
      </c>
      <c r="K166" s="67" t="s">
        <v>817</v>
      </c>
      <c r="L166" s="68" t="s">
        <v>578</v>
      </c>
      <c r="M166" s="69"/>
    </row>
    <row r="167" ht="15.75" customHeight="1">
      <c r="A167" s="66">
        <v>26673.0</v>
      </c>
      <c r="B167" s="67" t="s">
        <v>243</v>
      </c>
      <c r="C167" s="67" t="s">
        <v>217</v>
      </c>
      <c r="D167" s="67" t="s">
        <v>194</v>
      </c>
      <c r="E167" s="67" t="s">
        <v>170</v>
      </c>
      <c r="F167" s="67" t="s">
        <v>256</v>
      </c>
      <c r="G167" s="67" t="s">
        <v>246</v>
      </c>
      <c r="H167" s="67" t="s">
        <v>247</v>
      </c>
      <c r="I167" s="67" t="s">
        <v>934</v>
      </c>
      <c r="J167" s="67" t="s">
        <v>935</v>
      </c>
      <c r="K167" s="67" t="s">
        <v>933</v>
      </c>
      <c r="L167" s="68" t="s">
        <v>578</v>
      </c>
      <c r="M167" s="69"/>
    </row>
    <row r="168" ht="15.75" customHeight="1">
      <c r="A168" s="66">
        <v>127300.0</v>
      </c>
      <c r="B168" s="67" t="s">
        <v>484</v>
      </c>
      <c r="C168" s="67" t="s">
        <v>217</v>
      </c>
      <c r="D168" s="67" t="s">
        <v>170</v>
      </c>
      <c r="E168" s="67" t="s">
        <v>170</v>
      </c>
      <c r="F168" s="67" t="s">
        <v>170</v>
      </c>
      <c r="G168" s="67" t="s">
        <v>289</v>
      </c>
      <c r="H168" s="67" t="s">
        <v>247</v>
      </c>
      <c r="I168" s="67" t="s">
        <v>936</v>
      </c>
      <c r="J168" s="67" t="s">
        <v>937</v>
      </c>
      <c r="K168" s="67" t="s">
        <v>879</v>
      </c>
      <c r="L168" s="68" t="s">
        <v>600</v>
      </c>
      <c r="M168" s="69"/>
    </row>
    <row r="169" ht="15.75" customHeight="1">
      <c r="A169" s="66">
        <v>8410.0</v>
      </c>
      <c r="B169" s="67" t="s">
        <v>203</v>
      </c>
      <c r="C169" s="67" t="s">
        <v>168</v>
      </c>
      <c r="D169" s="67" t="s">
        <v>194</v>
      </c>
      <c r="E169" s="67" t="s">
        <v>196</v>
      </c>
      <c r="F169" s="67" t="s">
        <v>170</v>
      </c>
      <c r="G169" s="67" t="s">
        <v>372</v>
      </c>
      <c r="H169" s="67" t="s">
        <v>186</v>
      </c>
      <c r="I169" s="67" t="s">
        <v>938</v>
      </c>
      <c r="J169" s="67" t="s">
        <v>937</v>
      </c>
      <c r="K169" s="67" t="s">
        <v>879</v>
      </c>
      <c r="L169" s="68" t="s">
        <v>600</v>
      </c>
      <c r="M169" s="69"/>
    </row>
    <row r="170" ht="15.75" customHeight="1">
      <c r="A170" s="66">
        <v>8410.0</v>
      </c>
      <c r="B170" s="67" t="s">
        <v>203</v>
      </c>
      <c r="C170" s="67" t="s">
        <v>168</v>
      </c>
      <c r="D170" s="67" t="s">
        <v>194</v>
      </c>
      <c r="E170" s="67" t="s">
        <v>196</v>
      </c>
      <c r="F170" s="67" t="s">
        <v>170</v>
      </c>
      <c r="G170" s="67" t="s">
        <v>372</v>
      </c>
      <c r="H170" s="67" t="s">
        <v>186</v>
      </c>
      <c r="I170" s="67" t="s">
        <v>939</v>
      </c>
      <c r="J170" s="67" t="s">
        <v>879</v>
      </c>
      <c r="K170" s="67" t="s">
        <v>879</v>
      </c>
      <c r="L170" s="68" t="s">
        <v>600</v>
      </c>
      <c r="M170" s="69"/>
    </row>
    <row r="171" ht="15.75" customHeight="1">
      <c r="A171" s="66">
        <v>8410.0</v>
      </c>
      <c r="B171" s="67" t="s">
        <v>203</v>
      </c>
      <c r="C171" s="67" t="s">
        <v>168</v>
      </c>
      <c r="D171" s="67" t="s">
        <v>194</v>
      </c>
      <c r="E171" s="67" t="s">
        <v>196</v>
      </c>
      <c r="F171" s="67" t="s">
        <v>170</v>
      </c>
      <c r="G171" s="67" t="s">
        <v>372</v>
      </c>
      <c r="H171" s="67" t="s">
        <v>186</v>
      </c>
      <c r="I171" s="67" t="s">
        <v>940</v>
      </c>
      <c r="J171" s="67" t="s">
        <v>941</v>
      </c>
      <c r="K171" s="67" t="s">
        <v>879</v>
      </c>
      <c r="L171" s="68" t="s">
        <v>600</v>
      </c>
    </row>
    <row r="172" ht="15.75" customHeight="1">
      <c r="A172" s="66">
        <v>228110.0</v>
      </c>
      <c r="B172" s="67" t="s">
        <v>243</v>
      </c>
      <c r="C172" s="67" t="s">
        <v>217</v>
      </c>
      <c r="D172" s="67" t="s">
        <v>170</v>
      </c>
      <c r="E172" s="67" t="s">
        <v>170</v>
      </c>
      <c r="F172" s="67" t="s">
        <v>170</v>
      </c>
      <c r="G172" s="67" t="s">
        <v>246</v>
      </c>
      <c r="H172" s="67" t="s">
        <v>247</v>
      </c>
      <c r="I172" s="67" t="s">
        <v>942</v>
      </c>
      <c r="J172" s="67" t="s">
        <v>943</v>
      </c>
      <c r="K172" s="67" t="s">
        <v>944</v>
      </c>
      <c r="L172" s="14" t="s">
        <v>609</v>
      </c>
    </row>
    <row r="173" ht="15.75" customHeight="1">
      <c r="A173" s="66">
        <v>31614.0</v>
      </c>
      <c r="B173" s="67" t="s">
        <v>192</v>
      </c>
      <c r="C173" s="67" t="s">
        <v>168</v>
      </c>
      <c r="D173" s="67" t="s">
        <v>194</v>
      </c>
      <c r="E173" s="67" t="s">
        <v>196</v>
      </c>
      <c r="F173" s="67" t="s">
        <v>170</v>
      </c>
      <c r="G173" s="67" t="s">
        <v>198</v>
      </c>
      <c r="H173" s="67" t="s">
        <v>186</v>
      </c>
      <c r="I173" s="67" t="s">
        <v>945</v>
      </c>
      <c r="J173" s="67" t="s">
        <v>946</v>
      </c>
      <c r="K173" s="67" t="s">
        <v>876</v>
      </c>
      <c r="L173" s="14" t="s">
        <v>698</v>
      </c>
    </row>
    <row r="174" ht="15.75" customHeight="1">
      <c r="A174" s="66">
        <v>234758.0</v>
      </c>
      <c r="B174" s="67" t="s">
        <v>192</v>
      </c>
      <c r="C174" s="67" t="s">
        <v>168</v>
      </c>
      <c r="D174" s="67" t="s">
        <v>170</v>
      </c>
      <c r="E174" s="67" t="s">
        <v>196</v>
      </c>
      <c r="F174" s="67" t="s">
        <v>256</v>
      </c>
      <c r="G174" s="67" t="s">
        <v>208</v>
      </c>
      <c r="H174" s="67" t="s">
        <v>209</v>
      </c>
      <c r="I174" s="67" t="s">
        <v>947</v>
      </c>
      <c r="J174" s="67" t="s">
        <v>948</v>
      </c>
      <c r="K174" s="67" t="s">
        <v>895</v>
      </c>
      <c r="L174" s="14" t="s">
        <v>698</v>
      </c>
    </row>
    <row r="175" ht="15.75" customHeight="1">
      <c r="A175" s="66">
        <v>23855.0</v>
      </c>
      <c r="B175" s="67" t="s">
        <v>167</v>
      </c>
      <c r="C175" s="67" t="s">
        <v>168</v>
      </c>
      <c r="D175" s="67" t="s">
        <v>194</v>
      </c>
      <c r="E175" s="67" t="s">
        <v>196</v>
      </c>
      <c r="F175" s="67" t="s">
        <v>170</v>
      </c>
      <c r="G175" s="67" t="s">
        <v>372</v>
      </c>
      <c r="H175" s="67" t="s">
        <v>186</v>
      </c>
      <c r="I175" s="67" t="s">
        <v>949</v>
      </c>
      <c r="J175" s="67" t="s">
        <v>950</v>
      </c>
      <c r="K175" s="67" t="s">
        <v>951</v>
      </c>
      <c r="L175" s="68" t="s">
        <v>578</v>
      </c>
    </row>
    <row r="176" ht="15.75" customHeight="1">
      <c r="A176" s="66">
        <v>27494.0</v>
      </c>
      <c r="B176" s="67" t="s">
        <v>274</v>
      </c>
      <c r="C176" s="67" t="s">
        <v>217</v>
      </c>
      <c r="D176" s="67" t="s">
        <v>170</v>
      </c>
      <c r="E176" s="67" t="s">
        <v>172</v>
      </c>
      <c r="F176" s="67" t="s">
        <v>170</v>
      </c>
      <c r="G176" s="67" t="s">
        <v>464</v>
      </c>
      <c r="H176" s="67" t="s">
        <v>259</v>
      </c>
      <c r="I176" s="67" t="s">
        <v>952</v>
      </c>
      <c r="J176" s="67" t="s">
        <v>953</v>
      </c>
      <c r="K176" s="67" t="s">
        <v>953</v>
      </c>
      <c r="L176" s="68" t="s">
        <v>578</v>
      </c>
    </row>
    <row r="177" ht="15.75" customHeight="1">
      <c r="A177" s="66">
        <v>31614.0</v>
      </c>
      <c r="B177" s="67" t="s">
        <v>192</v>
      </c>
      <c r="C177" s="67" t="s">
        <v>168</v>
      </c>
      <c r="D177" s="67" t="s">
        <v>194</v>
      </c>
      <c r="E177" s="67" t="s">
        <v>196</v>
      </c>
      <c r="F177" s="67" t="s">
        <v>170</v>
      </c>
      <c r="G177" s="67" t="s">
        <v>198</v>
      </c>
      <c r="H177" s="67" t="s">
        <v>186</v>
      </c>
      <c r="I177" s="67" t="s">
        <v>954</v>
      </c>
      <c r="J177" s="67" t="s">
        <v>955</v>
      </c>
      <c r="K177" s="67" t="s">
        <v>697</v>
      </c>
      <c r="L177" s="14" t="s">
        <v>698</v>
      </c>
    </row>
    <row r="178" ht="15.75" customHeight="1">
      <c r="A178" s="66">
        <v>127213.0</v>
      </c>
      <c r="B178" s="67" t="s">
        <v>274</v>
      </c>
      <c r="C178" s="67" t="s">
        <v>217</v>
      </c>
      <c r="D178" s="67" t="s">
        <v>170</v>
      </c>
      <c r="E178" s="67" t="s">
        <v>170</v>
      </c>
      <c r="F178" s="67" t="s">
        <v>287</v>
      </c>
      <c r="G178" s="67" t="s">
        <v>289</v>
      </c>
      <c r="H178" s="67" t="s">
        <v>247</v>
      </c>
      <c r="I178" s="67" t="s">
        <v>956</v>
      </c>
      <c r="J178" s="67" t="s">
        <v>957</v>
      </c>
      <c r="K178" s="67" t="s">
        <v>836</v>
      </c>
      <c r="L178" s="68" t="s">
        <v>578</v>
      </c>
    </row>
    <row r="179" ht="15.75" customHeight="1">
      <c r="A179" s="66">
        <v>18301.0</v>
      </c>
      <c r="B179" s="67" t="s">
        <v>167</v>
      </c>
      <c r="C179" s="67" t="s">
        <v>168</v>
      </c>
      <c r="D179" s="67" t="s">
        <v>183</v>
      </c>
      <c r="E179" s="67" t="s">
        <v>170</v>
      </c>
      <c r="F179" s="67" t="s">
        <v>170</v>
      </c>
      <c r="G179" s="67" t="s">
        <v>185</v>
      </c>
      <c r="H179" s="67" t="s">
        <v>186</v>
      </c>
      <c r="I179" s="67" t="s">
        <v>958</v>
      </c>
      <c r="J179" s="67" t="s">
        <v>959</v>
      </c>
      <c r="K179" s="67" t="s">
        <v>633</v>
      </c>
      <c r="L179" s="14" t="s">
        <v>587</v>
      </c>
    </row>
    <row r="180" ht="15.75" customHeight="1">
      <c r="A180" s="66">
        <v>31614.0</v>
      </c>
      <c r="B180" s="67" t="s">
        <v>192</v>
      </c>
      <c r="C180" s="67" t="s">
        <v>168</v>
      </c>
      <c r="D180" s="67" t="s">
        <v>194</v>
      </c>
      <c r="E180" s="67" t="s">
        <v>196</v>
      </c>
      <c r="F180" s="67" t="s">
        <v>170</v>
      </c>
      <c r="G180" s="67" t="s">
        <v>198</v>
      </c>
      <c r="H180" s="67" t="s">
        <v>186</v>
      </c>
      <c r="I180" s="67" t="s">
        <v>960</v>
      </c>
      <c r="J180" s="67" t="s">
        <v>961</v>
      </c>
      <c r="K180" s="67" t="s">
        <v>755</v>
      </c>
      <c r="L180" s="14" t="s">
        <v>698</v>
      </c>
    </row>
    <row r="181" ht="15.75" customHeight="1">
      <c r="A181" s="66">
        <v>26673.0</v>
      </c>
      <c r="B181" s="67" t="s">
        <v>243</v>
      </c>
      <c r="C181" s="67" t="s">
        <v>217</v>
      </c>
      <c r="D181" s="67" t="s">
        <v>194</v>
      </c>
      <c r="E181" s="67" t="s">
        <v>170</v>
      </c>
      <c r="F181" s="67" t="s">
        <v>256</v>
      </c>
      <c r="G181" s="67" t="s">
        <v>246</v>
      </c>
      <c r="H181" s="67" t="s">
        <v>247</v>
      </c>
      <c r="I181" s="67" t="s">
        <v>962</v>
      </c>
      <c r="J181" s="67" t="s">
        <v>963</v>
      </c>
      <c r="K181" s="67" t="s">
        <v>681</v>
      </c>
      <c r="L181" s="14" t="s">
        <v>613</v>
      </c>
    </row>
    <row r="182" ht="15.75" customHeight="1">
      <c r="A182" s="66">
        <v>31666.0</v>
      </c>
      <c r="B182" s="67" t="s">
        <v>167</v>
      </c>
      <c r="C182" s="67" t="s">
        <v>168</v>
      </c>
      <c r="D182" s="67" t="s">
        <v>194</v>
      </c>
      <c r="E182" s="67" t="s">
        <v>172</v>
      </c>
      <c r="F182" s="67" t="s">
        <v>170</v>
      </c>
      <c r="G182" s="67" t="s">
        <v>372</v>
      </c>
      <c r="H182" s="67" t="s">
        <v>186</v>
      </c>
      <c r="I182" s="67" t="s">
        <v>964</v>
      </c>
      <c r="J182" s="67" t="s">
        <v>965</v>
      </c>
      <c r="K182" s="67" t="s">
        <v>636</v>
      </c>
      <c r="L182" s="14" t="s">
        <v>637</v>
      </c>
    </row>
    <row r="183" ht="15.75" customHeight="1">
      <c r="A183" s="66">
        <v>25714.0</v>
      </c>
      <c r="B183" s="67" t="s">
        <v>203</v>
      </c>
      <c r="C183" s="67" t="s">
        <v>168</v>
      </c>
      <c r="D183" s="67" t="s">
        <v>194</v>
      </c>
      <c r="E183" s="67" t="s">
        <v>172</v>
      </c>
      <c r="F183" s="67" t="s">
        <v>170</v>
      </c>
      <c r="G183" s="67" t="s">
        <v>208</v>
      </c>
      <c r="H183" s="67" t="s">
        <v>209</v>
      </c>
      <c r="I183" s="67" t="s">
        <v>966</v>
      </c>
      <c r="J183" s="67" t="s">
        <v>967</v>
      </c>
      <c r="K183" s="67" t="s">
        <v>648</v>
      </c>
      <c r="L183" s="14" t="s">
        <v>613</v>
      </c>
    </row>
    <row r="184" ht="15.75" customHeight="1">
      <c r="A184" s="66">
        <v>25714.0</v>
      </c>
      <c r="B184" s="67" t="s">
        <v>203</v>
      </c>
      <c r="C184" s="67" t="s">
        <v>168</v>
      </c>
      <c r="D184" s="67" t="s">
        <v>194</v>
      </c>
      <c r="E184" s="67" t="s">
        <v>172</v>
      </c>
      <c r="F184" s="67" t="s">
        <v>170</v>
      </c>
      <c r="G184" s="67" t="s">
        <v>208</v>
      </c>
      <c r="H184" s="67" t="s">
        <v>209</v>
      </c>
      <c r="I184" s="67" t="s">
        <v>968</v>
      </c>
      <c r="J184" s="67" t="s">
        <v>967</v>
      </c>
      <c r="K184" s="67" t="s">
        <v>648</v>
      </c>
      <c r="L184" s="14" t="s">
        <v>613</v>
      </c>
    </row>
    <row r="185" ht="15.75" customHeight="1">
      <c r="A185" s="66">
        <v>25714.0</v>
      </c>
      <c r="B185" s="67" t="s">
        <v>203</v>
      </c>
      <c r="C185" s="67" t="s">
        <v>168</v>
      </c>
      <c r="D185" s="67" t="s">
        <v>194</v>
      </c>
      <c r="E185" s="67" t="s">
        <v>172</v>
      </c>
      <c r="F185" s="67" t="s">
        <v>170</v>
      </c>
      <c r="G185" s="67" t="s">
        <v>208</v>
      </c>
      <c r="H185" s="67" t="s">
        <v>209</v>
      </c>
      <c r="I185" s="67" t="s">
        <v>969</v>
      </c>
      <c r="J185" s="67" t="s">
        <v>967</v>
      </c>
      <c r="K185" s="67" t="s">
        <v>648</v>
      </c>
      <c r="L185" s="14" t="s">
        <v>613</v>
      </c>
    </row>
    <row r="186" ht="15.75" customHeight="1">
      <c r="A186" s="66">
        <v>194180.0</v>
      </c>
      <c r="B186" s="67" t="s">
        <v>274</v>
      </c>
      <c r="C186" s="67" t="s">
        <v>217</v>
      </c>
      <c r="D186" s="67" t="s">
        <v>276</v>
      </c>
      <c r="E186" s="67" t="s">
        <v>170</v>
      </c>
      <c r="F186" s="67" t="s">
        <v>170</v>
      </c>
      <c r="G186" s="67" t="s">
        <v>208</v>
      </c>
      <c r="H186" s="67" t="s">
        <v>209</v>
      </c>
      <c r="I186" s="67" t="s">
        <v>970</v>
      </c>
      <c r="J186" s="67" t="s">
        <v>971</v>
      </c>
      <c r="K186" s="67" t="s">
        <v>972</v>
      </c>
      <c r="L186" s="14" t="s">
        <v>622</v>
      </c>
    </row>
    <row r="187" ht="15.75" customHeight="1">
      <c r="A187" s="66">
        <v>231273.0</v>
      </c>
      <c r="B187" s="67" t="s">
        <v>216</v>
      </c>
      <c r="C187" s="67" t="s">
        <v>217</v>
      </c>
      <c r="D187" s="67" t="s">
        <v>170</v>
      </c>
      <c r="E187" s="67" t="s">
        <v>254</v>
      </c>
      <c r="F187" s="67" t="s">
        <v>256</v>
      </c>
      <c r="G187" s="67" t="s">
        <v>258</v>
      </c>
      <c r="H187" s="67" t="s">
        <v>259</v>
      </c>
      <c r="I187" s="67" t="s">
        <v>973</v>
      </c>
      <c r="J187" s="67" t="s">
        <v>974</v>
      </c>
      <c r="K187" s="67" t="s">
        <v>840</v>
      </c>
      <c r="L187" s="14" t="s">
        <v>622</v>
      </c>
    </row>
    <row r="188" ht="15.75" customHeight="1">
      <c r="A188" s="66">
        <v>31666.0</v>
      </c>
      <c r="B188" s="67" t="s">
        <v>167</v>
      </c>
      <c r="C188" s="67" t="s">
        <v>168</v>
      </c>
      <c r="D188" s="67" t="s">
        <v>194</v>
      </c>
      <c r="E188" s="67" t="s">
        <v>172</v>
      </c>
      <c r="F188" s="67" t="s">
        <v>170</v>
      </c>
      <c r="G188" s="67" t="s">
        <v>372</v>
      </c>
      <c r="H188" s="67" t="s">
        <v>186</v>
      </c>
      <c r="I188" s="67" t="s">
        <v>975</v>
      </c>
      <c r="J188" s="67" t="s">
        <v>976</v>
      </c>
      <c r="K188" s="67" t="s">
        <v>636</v>
      </c>
      <c r="L188" s="14" t="s">
        <v>637</v>
      </c>
    </row>
    <row r="189" ht="15.75" customHeight="1">
      <c r="A189" s="66">
        <v>194180.0</v>
      </c>
      <c r="B189" s="67" t="s">
        <v>274</v>
      </c>
      <c r="C189" s="67" t="s">
        <v>217</v>
      </c>
      <c r="D189" s="67" t="s">
        <v>276</v>
      </c>
      <c r="E189" s="67" t="s">
        <v>170</v>
      </c>
      <c r="F189" s="67" t="s">
        <v>170</v>
      </c>
      <c r="G189" s="67" t="s">
        <v>208</v>
      </c>
      <c r="H189" s="67" t="s">
        <v>209</v>
      </c>
      <c r="I189" s="67" t="s">
        <v>977</v>
      </c>
      <c r="J189" s="67" t="s">
        <v>978</v>
      </c>
      <c r="K189" s="67" t="s">
        <v>840</v>
      </c>
      <c r="L189" s="14" t="s">
        <v>622</v>
      </c>
    </row>
    <row r="190" ht="15.75" customHeight="1">
      <c r="A190" s="66">
        <v>8679.0</v>
      </c>
      <c r="B190" s="67" t="s">
        <v>328</v>
      </c>
      <c r="C190" s="67" t="s">
        <v>217</v>
      </c>
      <c r="D190" s="67" t="s">
        <v>194</v>
      </c>
      <c r="E190" s="67" t="s">
        <v>196</v>
      </c>
      <c r="F190" s="67" t="s">
        <v>332</v>
      </c>
      <c r="G190" s="67" t="s">
        <v>198</v>
      </c>
      <c r="H190" s="67" t="s">
        <v>186</v>
      </c>
      <c r="I190" s="67" t="s">
        <v>979</v>
      </c>
      <c r="J190" s="67" t="s">
        <v>980</v>
      </c>
      <c r="K190" s="67" t="s">
        <v>861</v>
      </c>
      <c r="L190" s="14" t="s">
        <v>664</v>
      </c>
    </row>
    <row r="191" ht="15.75" customHeight="1">
      <c r="A191" s="66">
        <v>8679.0</v>
      </c>
      <c r="B191" s="67" t="s">
        <v>328</v>
      </c>
      <c r="C191" s="67" t="s">
        <v>217</v>
      </c>
      <c r="D191" s="67" t="s">
        <v>194</v>
      </c>
      <c r="E191" s="67" t="s">
        <v>196</v>
      </c>
      <c r="F191" s="67" t="s">
        <v>332</v>
      </c>
      <c r="G191" s="67" t="s">
        <v>198</v>
      </c>
      <c r="H191" s="67" t="s">
        <v>186</v>
      </c>
      <c r="I191" s="67" t="s">
        <v>981</v>
      </c>
      <c r="J191" s="67" t="s">
        <v>980</v>
      </c>
      <c r="K191" s="67" t="s">
        <v>861</v>
      </c>
      <c r="L191" s="14" t="s">
        <v>664</v>
      </c>
    </row>
    <row r="192" ht="15.75" customHeight="1">
      <c r="A192" s="66">
        <v>232488.0</v>
      </c>
      <c r="B192" s="67" t="s">
        <v>265</v>
      </c>
      <c r="C192" s="67" t="s">
        <v>217</v>
      </c>
      <c r="D192" s="67" t="s">
        <v>194</v>
      </c>
      <c r="E192" s="67" t="s">
        <v>196</v>
      </c>
      <c r="F192" s="67" t="s">
        <v>170</v>
      </c>
      <c r="G192" s="67" t="s">
        <v>446</v>
      </c>
      <c r="H192" s="67" t="s">
        <v>186</v>
      </c>
      <c r="I192" s="67" t="s">
        <v>982</v>
      </c>
      <c r="J192" s="67" t="s">
        <v>983</v>
      </c>
      <c r="K192" s="67" t="s">
        <v>651</v>
      </c>
      <c r="L192" s="14" t="s">
        <v>596</v>
      </c>
    </row>
    <row r="193" ht="15.75" customHeight="1">
      <c r="A193" s="66">
        <v>240325.0</v>
      </c>
      <c r="B193" s="67" t="s">
        <v>216</v>
      </c>
      <c r="C193" s="67" t="s">
        <v>217</v>
      </c>
      <c r="D193" s="67" t="s">
        <v>194</v>
      </c>
      <c r="E193" s="67" t="s">
        <v>172</v>
      </c>
      <c r="F193" s="67" t="s">
        <v>170</v>
      </c>
      <c r="G193" s="67" t="s">
        <v>221</v>
      </c>
      <c r="H193" s="67" t="s">
        <v>222</v>
      </c>
      <c r="I193" s="67" t="s">
        <v>984</v>
      </c>
      <c r="J193" s="67" t="s">
        <v>985</v>
      </c>
      <c r="K193" s="67" t="s">
        <v>667</v>
      </c>
      <c r="L193" s="14" t="s">
        <v>622</v>
      </c>
    </row>
    <row r="194" ht="15.75" customHeight="1">
      <c r="A194" s="66">
        <v>31666.0</v>
      </c>
      <c r="B194" s="67" t="s">
        <v>167</v>
      </c>
      <c r="C194" s="67" t="s">
        <v>168</v>
      </c>
      <c r="D194" s="67" t="s">
        <v>194</v>
      </c>
      <c r="E194" s="67" t="s">
        <v>172</v>
      </c>
      <c r="F194" s="67" t="s">
        <v>170</v>
      </c>
      <c r="G194" s="67" t="s">
        <v>372</v>
      </c>
      <c r="H194" s="67" t="s">
        <v>186</v>
      </c>
      <c r="I194" s="67" t="s">
        <v>986</v>
      </c>
      <c r="J194" s="67" t="s">
        <v>987</v>
      </c>
      <c r="K194" s="67" t="s">
        <v>636</v>
      </c>
      <c r="L194" s="14" t="s">
        <v>637</v>
      </c>
      <c r="M194" s="69"/>
    </row>
    <row r="195" ht="15.75" customHeight="1">
      <c r="A195" s="66">
        <v>228110.0</v>
      </c>
      <c r="B195" s="67" t="s">
        <v>243</v>
      </c>
      <c r="C195" s="67" t="s">
        <v>217</v>
      </c>
      <c r="D195" s="67" t="s">
        <v>170</v>
      </c>
      <c r="E195" s="67" t="s">
        <v>170</v>
      </c>
      <c r="F195" s="67" t="s">
        <v>170</v>
      </c>
      <c r="G195" s="67" t="s">
        <v>246</v>
      </c>
      <c r="H195" s="67" t="s">
        <v>247</v>
      </c>
      <c r="I195" s="67" t="s">
        <v>988</v>
      </c>
      <c r="J195" s="67" t="s">
        <v>989</v>
      </c>
      <c r="K195" s="67" t="s">
        <v>989</v>
      </c>
      <c r="L195" s="14" t="s">
        <v>609</v>
      </c>
      <c r="M195" s="69"/>
    </row>
    <row r="196" ht="15.75" customHeight="1">
      <c r="A196" s="66">
        <v>14189.0</v>
      </c>
      <c r="B196" s="67" t="s">
        <v>265</v>
      </c>
      <c r="C196" s="67" t="s">
        <v>217</v>
      </c>
      <c r="D196" s="67" t="s">
        <v>194</v>
      </c>
      <c r="E196" s="67" t="s">
        <v>170</v>
      </c>
      <c r="F196" s="67" t="s">
        <v>170</v>
      </c>
      <c r="G196" s="67" t="s">
        <v>246</v>
      </c>
      <c r="H196" s="67" t="s">
        <v>247</v>
      </c>
      <c r="I196" s="67" t="s">
        <v>990</v>
      </c>
      <c r="J196" s="67" t="s">
        <v>991</v>
      </c>
      <c r="K196" s="67" t="s">
        <v>742</v>
      </c>
      <c r="L196" s="14" t="s">
        <v>613</v>
      </c>
      <c r="M196" s="69"/>
    </row>
    <row r="197" ht="15.75" customHeight="1">
      <c r="A197" s="66">
        <v>127300.0</v>
      </c>
      <c r="B197" s="67" t="s">
        <v>484</v>
      </c>
      <c r="C197" s="67" t="s">
        <v>217</v>
      </c>
      <c r="D197" s="67" t="s">
        <v>170</v>
      </c>
      <c r="E197" s="67" t="s">
        <v>170</v>
      </c>
      <c r="F197" s="67" t="s">
        <v>170</v>
      </c>
      <c r="G197" s="67" t="s">
        <v>289</v>
      </c>
      <c r="H197" s="67" t="s">
        <v>247</v>
      </c>
      <c r="I197" s="67" t="s">
        <v>992</v>
      </c>
      <c r="J197" s="67" t="s">
        <v>993</v>
      </c>
      <c r="K197" s="67" t="s">
        <v>674</v>
      </c>
      <c r="L197" s="14" t="s">
        <v>637</v>
      </c>
      <c r="M197" s="69"/>
    </row>
    <row r="198" ht="15.75" customHeight="1">
      <c r="A198" s="66">
        <v>560.0</v>
      </c>
      <c r="B198" s="67" t="s">
        <v>422</v>
      </c>
      <c r="C198" s="67" t="s">
        <v>217</v>
      </c>
      <c r="D198" s="67" t="s">
        <v>194</v>
      </c>
      <c r="E198" s="67" t="s">
        <v>206</v>
      </c>
      <c r="F198" s="67" t="s">
        <v>332</v>
      </c>
      <c r="G198" s="67" t="s">
        <v>174</v>
      </c>
      <c r="H198" s="67" t="s">
        <v>175</v>
      </c>
      <c r="I198" s="67" t="s">
        <v>994</v>
      </c>
      <c r="J198" s="70" t="s">
        <v>993</v>
      </c>
      <c r="K198" s="67" t="s">
        <v>674</v>
      </c>
      <c r="L198" s="14" t="s">
        <v>637</v>
      </c>
      <c r="M198" s="69"/>
    </row>
    <row r="199" ht="15.75" customHeight="1">
      <c r="A199" s="66">
        <v>194180.0</v>
      </c>
      <c r="B199" s="67" t="s">
        <v>274</v>
      </c>
      <c r="C199" s="67" t="s">
        <v>217</v>
      </c>
      <c r="D199" s="67" t="s">
        <v>276</v>
      </c>
      <c r="E199" s="67" t="s">
        <v>170</v>
      </c>
      <c r="F199" s="67" t="s">
        <v>170</v>
      </c>
      <c r="G199" s="67" t="s">
        <v>208</v>
      </c>
      <c r="H199" s="67" t="s">
        <v>209</v>
      </c>
      <c r="I199" s="67" t="s">
        <v>995</v>
      </c>
      <c r="J199" s="67" t="s">
        <v>996</v>
      </c>
      <c r="K199" s="67" t="s">
        <v>663</v>
      </c>
      <c r="L199" s="14" t="s">
        <v>664</v>
      </c>
      <c r="M199" s="69"/>
    </row>
    <row r="200" ht="15.75" customHeight="1">
      <c r="A200" s="66">
        <v>194180.0</v>
      </c>
      <c r="B200" s="67" t="s">
        <v>274</v>
      </c>
      <c r="C200" s="67" t="s">
        <v>217</v>
      </c>
      <c r="D200" s="67" t="s">
        <v>276</v>
      </c>
      <c r="E200" s="67" t="s">
        <v>170</v>
      </c>
      <c r="F200" s="67" t="s">
        <v>170</v>
      </c>
      <c r="G200" s="67" t="s">
        <v>208</v>
      </c>
      <c r="H200" s="67" t="s">
        <v>209</v>
      </c>
      <c r="I200" s="67" t="s">
        <v>997</v>
      </c>
      <c r="J200" s="67" t="s">
        <v>996</v>
      </c>
      <c r="K200" s="67" t="s">
        <v>663</v>
      </c>
      <c r="L200" s="14" t="s">
        <v>664</v>
      </c>
      <c r="M200" s="69"/>
    </row>
    <row r="201" ht="15.75" customHeight="1">
      <c r="A201" s="66">
        <v>22001.0</v>
      </c>
      <c r="B201" s="67" t="s">
        <v>243</v>
      </c>
      <c r="C201" s="67" t="s">
        <v>217</v>
      </c>
      <c r="D201" s="67" t="s">
        <v>170</v>
      </c>
      <c r="E201" s="67" t="s">
        <v>170</v>
      </c>
      <c r="F201" s="67" t="s">
        <v>170</v>
      </c>
      <c r="G201" s="67" t="s">
        <v>322</v>
      </c>
      <c r="H201" s="67" t="s">
        <v>175</v>
      </c>
      <c r="I201" s="67" t="s">
        <v>998</v>
      </c>
      <c r="J201" s="67" t="s">
        <v>999</v>
      </c>
      <c r="K201" s="67" t="s">
        <v>1000</v>
      </c>
      <c r="L201" s="68" t="s">
        <v>578</v>
      </c>
      <c r="M201" s="69"/>
    </row>
    <row r="202" ht="15.75" customHeight="1">
      <c r="A202" s="66">
        <v>31666.0</v>
      </c>
      <c r="B202" s="67" t="s">
        <v>167</v>
      </c>
      <c r="C202" s="67" t="s">
        <v>168</v>
      </c>
      <c r="D202" s="67" t="s">
        <v>194</v>
      </c>
      <c r="E202" s="67" t="s">
        <v>172</v>
      </c>
      <c r="F202" s="67" t="s">
        <v>170</v>
      </c>
      <c r="G202" s="67" t="s">
        <v>372</v>
      </c>
      <c r="H202" s="67" t="s">
        <v>186</v>
      </c>
      <c r="I202" s="67" t="s">
        <v>1001</v>
      </c>
      <c r="J202" s="67" t="s">
        <v>1002</v>
      </c>
      <c r="K202" s="67" t="s">
        <v>593</v>
      </c>
      <c r="L202" s="68" t="s">
        <v>578</v>
      </c>
      <c r="M202" s="69"/>
    </row>
    <row r="203" ht="15.75" customHeight="1">
      <c r="A203" s="66">
        <v>31666.0</v>
      </c>
      <c r="B203" s="67" t="s">
        <v>167</v>
      </c>
      <c r="C203" s="67" t="s">
        <v>168</v>
      </c>
      <c r="D203" s="67" t="s">
        <v>194</v>
      </c>
      <c r="E203" s="67" t="s">
        <v>172</v>
      </c>
      <c r="F203" s="67" t="s">
        <v>170</v>
      </c>
      <c r="G203" s="67" t="s">
        <v>372</v>
      </c>
      <c r="H203" s="67" t="s">
        <v>186</v>
      </c>
      <c r="I203" s="67" t="s">
        <v>1003</v>
      </c>
      <c r="J203" s="67" t="s">
        <v>1002</v>
      </c>
      <c r="K203" s="67" t="s">
        <v>593</v>
      </c>
      <c r="L203" s="68" t="s">
        <v>578</v>
      </c>
      <c r="M203" s="69"/>
    </row>
    <row r="204" ht="15.75" customHeight="1">
      <c r="A204" s="66">
        <v>3017.0</v>
      </c>
      <c r="B204" s="67" t="s">
        <v>265</v>
      </c>
      <c r="C204" s="67" t="s">
        <v>217</v>
      </c>
      <c r="D204" s="67" t="s">
        <v>194</v>
      </c>
      <c r="E204" s="67" t="s">
        <v>170</v>
      </c>
      <c r="F204" s="67" t="s">
        <v>170</v>
      </c>
      <c r="G204" s="67" t="s">
        <v>246</v>
      </c>
      <c r="H204" s="67" t="s">
        <v>247</v>
      </c>
      <c r="I204" s="67" t="s">
        <v>1004</v>
      </c>
      <c r="J204" s="67" t="s">
        <v>1005</v>
      </c>
      <c r="K204" s="67" t="s">
        <v>755</v>
      </c>
      <c r="L204" s="14" t="s">
        <v>698</v>
      </c>
      <c r="M204" s="69"/>
    </row>
    <row r="205" ht="15.75" customHeight="1">
      <c r="A205" s="66">
        <v>11247.0</v>
      </c>
      <c r="B205" s="67" t="s">
        <v>203</v>
      </c>
      <c r="C205" s="67" t="s">
        <v>168</v>
      </c>
      <c r="D205" s="67" t="s">
        <v>194</v>
      </c>
      <c r="E205" s="67" t="s">
        <v>206</v>
      </c>
      <c r="F205" s="67" t="s">
        <v>170</v>
      </c>
      <c r="G205" s="67" t="s">
        <v>208</v>
      </c>
      <c r="H205" s="67" t="s">
        <v>209</v>
      </c>
      <c r="I205" s="67" t="s">
        <v>1006</v>
      </c>
      <c r="J205" s="67" t="s">
        <v>1007</v>
      </c>
      <c r="K205" s="67" t="s">
        <v>1007</v>
      </c>
      <c r="L205" s="68" t="s">
        <v>600</v>
      </c>
      <c r="M205" s="69"/>
    </row>
    <row r="206" ht="15.75" customHeight="1">
      <c r="A206" s="66">
        <v>11247.0</v>
      </c>
      <c r="B206" s="67" t="s">
        <v>203</v>
      </c>
      <c r="C206" s="67" t="s">
        <v>168</v>
      </c>
      <c r="D206" s="67" t="s">
        <v>194</v>
      </c>
      <c r="E206" s="67" t="s">
        <v>206</v>
      </c>
      <c r="F206" s="67" t="s">
        <v>170</v>
      </c>
      <c r="G206" s="67" t="s">
        <v>208</v>
      </c>
      <c r="H206" s="67" t="s">
        <v>209</v>
      </c>
      <c r="I206" s="67" t="s">
        <v>1008</v>
      </c>
      <c r="J206" s="67" t="s">
        <v>1007</v>
      </c>
      <c r="K206" s="67" t="s">
        <v>1007</v>
      </c>
      <c r="L206" s="68" t="s">
        <v>600</v>
      </c>
      <c r="M206" s="69"/>
    </row>
    <row r="207" ht="15.75" customHeight="1">
      <c r="A207" s="66">
        <v>403583.0</v>
      </c>
      <c r="B207" s="67" t="s">
        <v>203</v>
      </c>
      <c r="C207" s="67" t="s">
        <v>168</v>
      </c>
      <c r="D207" s="67" t="s">
        <v>194</v>
      </c>
      <c r="E207" s="67" t="s">
        <v>206</v>
      </c>
      <c r="F207" s="67" t="s">
        <v>170</v>
      </c>
      <c r="G207" s="67" t="s">
        <v>208</v>
      </c>
      <c r="H207" s="67" t="s">
        <v>209</v>
      </c>
      <c r="I207" s="67" t="s">
        <v>1009</v>
      </c>
      <c r="J207" s="67" t="s">
        <v>1007</v>
      </c>
      <c r="K207" s="67" t="s">
        <v>1007</v>
      </c>
      <c r="L207" s="68" t="s">
        <v>600</v>
      </c>
      <c r="M207" s="69"/>
    </row>
    <row r="208" ht="15.75" customHeight="1">
      <c r="A208" s="66">
        <v>25714.0</v>
      </c>
      <c r="B208" s="67" t="s">
        <v>203</v>
      </c>
      <c r="C208" s="67" t="s">
        <v>168</v>
      </c>
      <c r="D208" s="67" t="s">
        <v>194</v>
      </c>
      <c r="E208" s="67" t="s">
        <v>172</v>
      </c>
      <c r="F208" s="67" t="s">
        <v>170</v>
      </c>
      <c r="G208" s="67" t="s">
        <v>208</v>
      </c>
      <c r="H208" s="67" t="s">
        <v>209</v>
      </c>
      <c r="I208" s="67" t="s">
        <v>1010</v>
      </c>
      <c r="J208" s="67" t="s">
        <v>1007</v>
      </c>
      <c r="K208" s="67" t="s">
        <v>1007</v>
      </c>
      <c r="L208" s="68" t="s">
        <v>600</v>
      </c>
    </row>
    <row r="209" ht="15.75" customHeight="1">
      <c r="A209" s="66">
        <v>30061.0</v>
      </c>
      <c r="B209" s="67" t="s">
        <v>422</v>
      </c>
      <c r="C209" s="67" t="s">
        <v>217</v>
      </c>
      <c r="D209" s="67" t="s">
        <v>170</v>
      </c>
      <c r="E209" s="67" t="s">
        <v>425</v>
      </c>
      <c r="F209" s="67" t="s">
        <v>170</v>
      </c>
      <c r="G209" s="67" t="s">
        <v>208</v>
      </c>
      <c r="H209" s="67" t="s">
        <v>209</v>
      </c>
      <c r="I209" s="67" t="s">
        <v>1011</v>
      </c>
      <c r="J209" s="70" t="s">
        <v>1012</v>
      </c>
      <c r="K209" s="67" t="s">
        <v>745</v>
      </c>
      <c r="L209" s="14" t="s">
        <v>587</v>
      </c>
    </row>
    <row r="210" ht="15.75" customHeight="1">
      <c r="A210" s="66">
        <v>30061.0</v>
      </c>
      <c r="B210" s="67" t="s">
        <v>422</v>
      </c>
      <c r="C210" s="67" t="s">
        <v>217</v>
      </c>
      <c r="D210" s="67" t="s">
        <v>170</v>
      </c>
      <c r="E210" s="67" t="s">
        <v>425</v>
      </c>
      <c r="F210" s="67" t="s">
        <v>170</v>
      </c>
      <c r="G210" s="67" t="s">
        <v>208</v>
      </c>
      <c r="H210" s="67" t="s">
        <v>209</v>
      </c>
      <c r="I210" s="67" t="s">
        <v>1013</v>
      </c>
      <c r="J210" s="70" t="s">
        <v>1012</v>
      </c>
      <c r="K210" s="67" t="s">
        <v>745</v>
      </c>
      <c r="L210" s="14" t="s">
        <v>587</v>
      </c>
    </row>
    <row r="211" ht="15.75" customHeight="1">
      <c r="A211" s="66">
        <v>3017.0</v>
      </c>
      <c r="B211" s="67" t="s">
        <v>265</v>
      </c>
      <c r="C211" s="67" t="s">
        <v>217</v>
      </c>
      <c r="D211" s="67" t="s">
        <v>194</v>
      </c>
      <c r="E211" s="67" t="s">
        <v>170</v>
      </c>
      <c r="F211" s="67" t="s">
        <v>170</v>
      </c>
      <c r="G211" s="67" t="s">
        <v>246</v>
      </c>
      <c r="H211" s="67" t="s">
        <v>247</v>
      </c>
      <c r="I211" s="67" t="s">
        <v>1014</v>
      </c>
      <c r="J211" s="67" t="s">
        <v>1015</v>
      </c>
      <c r="K211" s="67" t="s">
        <v>1015</v>
      </c>
      <c r="L211" s="14" t="s">
        <v>698</v>
      </c>
    </row>
    <row r="212" ht="15.75" customHeight="1">
      <c r="A212" s="66">
        <v>240325.0</v>
      </c>
      <c r="B212" s="67" t="s">
        <v>216</v>
      </c>
      <c r="C212" s="67" t="s">
        <v>217</v>
      </c>
      <c r="D212" s="67" t="s">
        <v>194</v>
      </c>
      <c r="E212" s="67" t="s">
        <v>172</v>
      </c>
      <c r="F212" s="67" t="s">
        <v>170</v>
      </c>
      <c r="G212" s="67" t="s">
        <v>221</v>
      </c>
      <c r="H212" s="67" t="s">
        <v>222</v>
      </c>
      <c r="I212" s="67" t="s">
        <v>1016</v>
      </c>
      <c r="J212" s="67" t="s">
        <v>1017</v>
      </c>
      <c r="K212" s="67" t="s">
        <v>705</v>
      </c>
      <c r="L212" s="14" t="s">
        <v>587</v>
      </c>
    </row>
    <row r="213" ht="15.75" customHeight="1">
      <c r="A213" s="66">
        <v>240325.0</v>
      </c>
      <c r="B213" s="67" t="s">
        <v>216</v>
      </c>
      <c r="C213" s="67" t="s">
        <v>217</v>
      </c>
      <c r="D213" s="67" t="s">
        <v>194</v>
      </c>
      <c r="E213" s="67" t="s">
        <v>172</v>
      </c>
      <c r="F213" s="67" t="s">
        <v>170</v>
      </c>
      <c r="G213" s="67" t="s">
        <v>221</v>
      </c>
      <c r="H213" s="67" t="s">
        <v>222</v>
      </c>
      <c r="I213" s="67" t="s">
        <v>1018</v>
      </c>
      <c r="J213" s="67" t="s">
        <v>1019</v>
      </c>
      <c r="K213" s="67" t="s">
        <v>705</v>
      </c>
      <c r="L213" s="14" t="s">
        <v>587</v>
      </c>
    </row>
    <row r="214" ht="15.75" customHeight="1">
      <c r="A214" s="66">
        <v>14189.0</v>
      </c>
      <c r="B214" s="67" t="s">
        <v>265</v>
      </c>
      <c r="C214" s="67" t="s">
        <v>217</v>
      </c>
      <c r="D214" s="67" t="s">
        <v>194</v>
      </c>
      <c r="E214" s="67" t="s">
        <v>170</v>
      </c>
      <c r="F214" s="67" t="s">
        <v>170</v>
      </c>
      <c r="G214" s="67" t="s">
        <v>246</v>
      </c>
      <c r="H214" s="67" t="s">
        <v>247</v>
      </c>
      <c r="I214" s="67" t="s">
        <v>1020</v>
      </c>
      <c r="J214" s="67" t="s">
        <v>1021</v>
      </c>
      <c r="K214" s="67" t="s">
        <v>708</v>
      </c>
      <c r="L214" s="14" t="s">
        <v>587</v>
      </c>
    </row>
    <row r="215" ht="15.75" customHeight="1">
      <c r="A215" s="66">
        <v>26673.0</v>
      </c>
      <c r="B215" s="67" t="s">
        <v>243</v>
      </c>
      <c r="C215" s="67" t="s">
        <v>217</v>
      </c>
      <c r="D215" s="67" t="s">
        <v>194</v>
      </c>
      <c r="E215" s="67" t="s">
        <v>170</v>
      </c>
      <c r="F215" s="67" t="s">
        <v>256</v>
      </c>
      <c r="G215" s="67" t="s">
        <v>246</v>
      </c>
      <c r="H215" s="67" t="s">
        <v>247</v>
      </c>
      <c r="I215" s="67" t="s">
        <v>1022</v>
      </c>
      <c r="J215" s="67" t="s">
        <v>1023</v>
      </c>
      <c r="K215" s="67" t="s">
        <v>608</v>
      </c>
      <c r="L215" s="14" t="s">
        <v>609</v>
      </c>
    </row>
    <row r="216" ht="15.75" customHeight="1">
      <c r="A216" s="66">
        <v>127213.0</v>
      </c>
      <c r="B216" s="67" t="s">
        <v>274</v>
      </c>
      <c r="C216" s="67" t="s">
        <v>217</v>
      </c>
      <c r="D216" s="67" t="s">
        <v>170</v>
      </c>
      <c r="E216" s="67" t="s">
        <v>170</v>
      </c>
      <c r="F216" s="67" t="s">
        <v>287</v>
      </c>
      <c r="G216" s="67" t="s">
        <v>289</v>
      </c>
      <c r="H216" s="67" t="s">
        <v>247</v>
      </c>
      <c r="I216" s="67" t="s">
        <v>1024</v>
      </c>
      <c r="J216" s="67" t="s">
        <v>1025</v>
      </c>
      <c r="K216" s="67" t="s">
        <v>836</v>
      </c>
      <c r="L216" s="68" t="s">
        <v>578</v>
      </c>
    </row>
    <row r="217" ht="15.75" customHeight="1">
      <c r="A217" s="66">
        <v>25196.0</v>
      </c>
      <c r="B217" s="67" t="s">
        <v>167</v>
      </c>
      <c r="C217" s="67" t="s">
        <v>168</v>
      </c>
      <c r="D217" s="67" t="s">
        <v>183</v>
      </c>
      <c r="E217" s="67" t="s">
        <v>170</v>
      </c>
      <c r="F217" s="67" t="s">
        <v>170</v>
      </c>
      <c r="G217" s="67" t="s">
        <v>221</v>
      </c>
      <c r="H217" s="67" t="s">
        <v>222</v>
      </c>
      <c r="I217" s="67" t="s">
        <v>1026</v>
      </c>
      <c r="J217" s="67" t="s">
        <v>1025</v>
      </c>
      <c r="K217" s="67" t="s">
        <v>836</v>
      </c>
      <c r="L217" s="68" t="s">
        <v>578</v>
      </c>
    </row>
    <row r="218" ht="15.75" customHeight="1">
      <c r="A218" s="66">
        <v>41750.0</v>
      </c>
      <c r="B218" s="67" t="s">
        <v>265</v>
      </c>
      <c r="C218" s="67" t="s">
        <v>217</v>
      </c>
      <c r="D218" s="67" t="s">
        <v>170</v>
      </c>
      <c r="E218" s="67" t="s">
        <v>170</v>
      </c>
      <c r="F218" s="67" t="s">
        <v>170</v>
      </c>
      <c r="G218" s="67" t="s">
        <v>208</v>
      </c>
      <c r="H218" s="67" t="s">
        <v>209</v>
      </c>
      <c r="I218" s="67" t="s">
        <v>1027</v>
      </c>
      <c r="J218" s="67" t="s">
        <v>1028</v>
      </c>
      <c r="K218" s="67" t="s">
        <v>705</v>
      </c>
      <c r="L218" s="14" t="s">
        <v>587</v>
      </c>
    </row>
    <row r="219" ht="15.75" customHeight="1">
      <c r="A219" s="66">
        <v>127213.0</v>
      </c>
      <c r="B219" s="67" t="s">
        <v>274</v>
      </c>
      <c r="C219" s="67" t="s">
        <v>217</v>
      </c>
      <c r="D219" s="67" t="s">
        <v>170</v>
      </c>
      <c r="E219" s="67" t="s">
        <v>170</v>
      </c>
      <c r="F219" s="67" t="s">
        <v>287</v>
      </c>
      <c r="G219" s="67" t="s">
        <v>289</v>
      </c>
      <c r="H219" s="67" t="s">
        <v>247</v>
      </c>
      <c r="I219" s="67" t="s">
        <v>1029</v>
      </c>
      <c r="J219" s="67" t="s">
        <v>1030</v>
      </c>
      <c r="K219" s="67" t="s">
        <v>1030</v>
      </c>
      <c r="L219" s="68" t="s">
        <v>578</v>
      </c>
    </row>
    <row r="220" ht="15.75" customHeight="1">
      <c r="A220" s="66">
        <v>194180.0</v>
      </c>
      <c r="B220" s="67" t="s">
        <v>274</v>
      </c>
      <c r="C220" s="67" t="s">
        <v>217</v>
      </c>
      <c r="D220" s="67" t="s">
        <v>276</v>
      </c>
      <c r="E220" s="67" t="s">
        <v>170</v>
      </c>
      <c r="F220" s="67" t="s">
        <v>170</v>
      </c>
      <c r="G220" s="67" t="s">
        <v>208</v>
      </c>
      <c r="H220" s="67" t="s">
        <v>209</v>
      </c>
      <c r="I220" s="67" t="s">
        <v>1031</v>
      </c>
      <c r="J220" s="67" t="s">
        <v>1032</v>
      </c>
      <c r="K220" s="67" t="s">
        <v>705</v>
      </c>
      <c r="L220" s="14" t="s">
        <v>587</v>
      </c>
    </row>
    <row r="221" ht="15.75" customHeight="1">
      <c r="A221" s="66">
        <v>194180.0</v>
      </c>
      <c r="B221" s="67" t="s">
        <v>274</v>
      </c>
      <c r="C221" s="67" t="s">
        <v>217</v>
      </c>
      <c r="D221" s="67" t="s">
        <v>276</v>
      </c>
      <c r="E221" s="67" t="s">
        <v>170</v>
      </c>
      <c r="F221" s="67" t="s">
        <v>170</v>
      </c>
      <c r="G221" s="67" t="s">
        <v>208</v>
      </c>
      <c r="H221" s="67" t="s">
        <v>209</v>
      </c>
      <c r="I221" s="67" t="s">
        <v>1033</v>
      </c>
      <c r="J221" s="67" t="s">
        <v>1032</v>
      </c>
      <c r="K221" s="67" t="s">
        <v>705</v>
      </c>
      <c r="L221" s="14" t="s">
        <v>587</v>
      </c>
    </row>
    <row r="222" ht="15.75" customHeight="1">
      <c r="A222" s="66">
        <v>194180.0</v>
      </c>
      <c r="B222" s="67" t="s">
        <v>274</v>
      </c>
      <c r="C222" s="67" t="s">
        <v>217</v>
      </c>
      <c r="D222" s="67" t="s">
        <v>276</v>
      </c>
      <c r="E222" s="67" t="s">
        <v>170</v>
      </c>
      <c r="F222" s="67" t="s">
        <v>170</v>
      </c>
      <c r="G222" s="67" t="s">
        <v>208</v>
      </c>
      <c r="H222" s="67" t="s">
        <v>209</v>
      </c>
      <c r="I222" s="67" t="s">
        <v>1034</v>
      </c>
      <c r="J222" s="67" t="s">
        <v>1032</v>
      </c>
      <c r="K222" s="67" t="s">
        <v>705</v>
      </c>
      <c r="L222" s="14" t="s">
        <v>587</v>
      </c>
    </row>
    <row r="223" ht="15.75" customHeight="1">
      <c r="A223" s="66">
        <v>194180.0</v>
      </c>
      <c r="B223" s="67" t="s">
        <v>274</v>
      </c>
      <c r="C223" s="67" t="s">
        <v>217</v>
      </c>
      <c r="D223" s="67" t="s">
        <v>276</v>
      </c>
      <c r="E223" s="67" t="s">
        <v>170</v>
      </c>
      <c r="F223" s="67" t="s">
        <v>170</v>
      </c>
      <c r="G223" s="67" t="s">
        <v>208</v>
      </c>
      <c r="H223" s="67" t="s">
        <v>209</v>
      </c>
      <c r="I223" s="67" t="s">
        <v>1035</v>
      </c>
      <c r="J223" s="67" t="s">
        <v>1032</v>
      </c>
      <c r="K223" s="67" t="s">
        <v>705</v>
      </c>
      <c r="L223" s="14" t="s">
        <v>587</v>
      </c>
    </row>
    <row r="224" ht="15.75" customHeight="1">
      <c r="A224" s="66">
        <v>228110.0</v>
      </c>
      <c r="B224" s="67" t="s">
        <v>243</v>
      </c>
      <c r="C224" s="67" t="s">
        <v>217</v>
      </c>
      <c r="D224" s="67" t="s">
        <v>170</v>
      </c>
      <c r="E224" s="67" t="s">
        <v>170</v>
      </c>
      <c r="F224" s="67" t="s">
        <v>170</v>
      </c>
      <c r="G224" s="67" t="s">
        <v>246</v>
      </c>
      <c r="H224" s="67" t="s">
        <v>247</v>
      </c>
      <c r="I224" s="67" t="s">
        <v>1036</v>
      </c>
      <c r="J224" s="67" t="s">
        <v>1037</v>
      </c>
      <c r="K224" s="67" t="s">
        <v>667</v>
      </c>
      <c r="L224" s="14" t="s">
        <v>622</v>
      </c>
    </row>
    <row r="225" ht="15.75" customHeight="1">
      <c r="A225" s="66">
        <v>9878.0</v>
      </c>
      <c r="B225" s="67" t="s">
        <v>167</v>
      </c>
      <c r="C225" s="67" t="s">
        <v>168</v>
      </c>
      <c r="D225" s="67" t="s">
        <v>194</v>
      </c>
      <c r="E225" s="67" t="s">
        <v>196</v>
      </c>
      <c r="F225" s="67" t="s">
        <v>256</v>
      </c>
      <c r="G225" s="67" t="s">
        <v>221</v>
      </c>
      <c r="H225" s="67" t="s">
        <v>222</v>
      </c>
      <c r="I225" s="67" t="s">
        <v>1038</v>
      </c>
      <c r="J225" s="67" t="s">
        <v>1039</v>
      </c>
      <c r="K225" s="67" t="s">
        <v>817</v>
      </c>
      <c r="L225" s="68" t="s">
        <v>578</v>
      </c>
    </row>
    <row r="226" ht="15.75" customHeight="1">
      <c r="A226" s="66">
        <v>31614.0</v>
      </c>
      <c r="B226" s="67" t="s">
        <v>192</v>
      </c>
      <c r="C226" s="67" t="s">
        <v>168</v>
      </c>
      <c r="D226" s="67" t="s">
        <v>194</v>
      </c>
      <c r="E226" s="67" t="s">
        <v>196</v>
      </c>
      <c r="F226" s="67" t="s">
        <v>170</v>
      </c>
      <c r="G226" s="67" t="s">
        <v>198</v>
      </c>
      <c r="H226" s="67" t="s">
        <v>186</v>
      </c>
      <c r="I226" s="67" t="s">
        <v>1040</v>
      </c>
      <c r="J226" s="67" t="s">
        <v>1041</v>
      </c>
      <c r="K226" s="67" t="s">
        <v>577</v>
      </c>
      <c r="L226" s="68" t="s">
        <v>578</v>
      </c>
    </row>
    <row r="227" ht="15.75" customHeight="1">
      <c r="A227" s="66">
        <v>31614.0</v>
      </c>
      <c r="B227" s="67" t="s">
        <v>192</v>
      </c>
      <c r="C227" s="67" t="s">
        <v>168</v>
      </c>
      <c r="D227" s="67" t="s">
        <v>194</v>
      </c>
      <c r="E227" s="67" t="s">
        <v>196</v>
      </c>
      <c r="F227" s="67" t="s">
        <v>170</v>
      </c>
      <c r="G227" s="67" t="s">
        <v>198</v>
      </c>
      <c r="H227" s="67" t="s">
        <v>186</v>
      </c>
      <c r="I227" s="67" t="s">
        <v>1042</v>
      </c>
      <c r="J227" s="67" t="s">
        <v>1043</v>
      </c>
      <c r="K227" s="67" t="s">
        <v>577</v>
      </c>
      <c r="L227" s="68" t="s">
        <v>578</v>
      </c>
    </row>
    <row r="228" ht="15.75" customHeight="1">
      <c r="A228" s="66">
        <v>25196.0</v>
      </c>
      <c r="B228" s="67" t="s">
        <v>167</v>
      </c>
      <c r="C228" s="67" t="s">
        <v>168</v>
      </c>
      <c r="D228" s="67" t="s">
        <v>183</v>
      </c>
      <c r="E228" s="67" t="s">
        <v>170</v>
      </c>
      <c r="F228" s="67" t="s">
        <v>170</v>
      </c>
      <c r="G228" s="67" t="s">
        <v>221</v>
      </c>
      <c r="H228" s="67" t="s">
        <v>222</v>
      </c>
      <c r="I228" s="67" t="s">
        <v>1044</v>
      </c>
      <c r="J228" s="67" t="s">
        <v>1045</v>
      </c>
      <c r="K228" s="67" t="s">
        <v>716</v>
      </c>
      <c r="L228" s="14" t="s">
        <v>664</v>
      </c>
    </row>
    <row r="229" ht="15.75" customHeight="1">
      <c r="A229" s="66">
        <v>127213.0</v>
      </c>
      <c r="B229" s="67" t="s">
        <v>274</v>
      </c>
      <c r="C229" s="67" t="s">
        <v>217</v>
      </c>
      <c r="D229" s="67" t="s">
        <v>170</v>
      </c>
      <c r="E229" s="67" t="s">
        <v>170</v>
      </c>
      <c r="F229" s="67" t="s">
        <v>287</v>
      </c>
      <c r="G229" s="67" t="s">
        <v>289</v>
      </c>
      <c r="H229" s="67" t="s">
        <v>247</v>
      </c>
      <c r="I229" s="67" t="s">
        <v>1046</v>
      </c>
      <c r="J229" s="67" t="s">
        <v>1047</v>
      </c>
      <c r="K229" s="67" t="s">
        <v>919</v>
      </c>
      <c r="L229" s="14" t="s">
        <v>664</v>
      </c>
    </row>
    <row r="230" ht="15.75" customHeight="1">
      <c r="A230" s="66">
        <v>8410.0</v>
      </c>
      <c r="B230" s="67" t="s">
        <v>203</v>
      </c>
      <c r="C230" s="67" t="s">
        <v>168</v>
      </c>
      <c r="D230" s="67" t="s">
        <v>194</v>
      </c>
      <c r="E230" s="67" t="s">
        <v>196</v>
      </c>
      <c r="F230" s="67" t="s">
        <v>170</v>
      </c>
      <c r="G230" s="67" t="s">
        <v>372</v>
      </c>
      <c r="H230" s="67" t="s">
        <v>186</v>
      </c>
      <c r="I230" s="67" t="s">
        <v>1048</v>
      </c>
      <c r="J230" s="67" t="s">
        <v>1049</v>
      </c>
      <c r="K230" s="67" t="s">
        <v>1049</v>
      </c>
      <c r="L230" s="68" t="s">
        <v>600</v>
      </c>
    </row>
    <row r="231" ht="15.75" customHeight="1">
      <c r="A231" s="66">
        <v>8410.0</v>
      </c>
      <c r="B231" s="67" t="s">
        <v>203</v>
      </c>
      <c r="C231" s="67" t="s">
        <v>168</v>
      </c>
      <c r="D231" s="67" t="s">
        <v>194</v>
      </c>
      <c r="E231" s="67" t="s">
        <v>196</v>
      </c>
      <c r="F231" s="67" t="s">
        <v>170</v>
      </c>
      <c r="G231" s="67" t="s">
        <v>372</v>
      </c>
      <c r="H231" s="67" t="s">
        <v>186</v>
      </c>
      <c r="I231" s="67" t="s">
        <v>1050</v>
      </c>
      <c r="J231" s="67" t="s">
        <v>1049</v>
      </c>
      <c r="K231" s="67" t="s">
        <v>1049</v>
      </c>
      <c r="L231" s="68" t="s">
        <v>600</v>
      </c>
    </row>
    <row r="232" ht="15.75" customHeight="1">
      <c r="A232" s="66">
        <v>228110.0</v>
      </c>
      <c r="B232" s="67" t="s">
        <v>243</v>
      </c>
      <c r="C232" s="67" t="s">
        <v>217</v>
      </c>
      <c r="D232" s="67" t="s">
        <v>170</v>
      </c>
      <c r="E232" s="67" t="s">
        <v>170</v>
      </c>
      <c r="F232" s="67" t="s">
        <v>170</v>
      </c>
      <c r="G232" s="67" t="s">
        <v>246</v>
      </c>
      <c r="H232" s="67" t="s">
        <v>247</v>
      </c>
      <c r="I232" s="67" t="s">
        <v>1051</v>
      </c>
      <c r="J232" s="67" t="s">
        <v>1052</v>
      </c>
      <c r="K232" s="67" t="s">
        <v>1052</v>
      </c>
      <c r="L232" s="14" t="s">
        <v>587</v>
      </c>
    </row>
    <row r="233" ht="15.75" customHeight="1">
      <c r="A233" s="66">
        <v>25714.0</v>
      </c>
      <c r="B233" s="67" t="s">
        <v>203</v>
      </c>
      <c r="C233" s="67" t="s">
        <v>168</v>
      </c>
      <c r="D233" s="67" t="s">
        <v>194</v>
      </c>
      <c r="E233" s="67" t="s">
        <v>172</v>
      </c>
      <c r="F233" s="67" t="s">
        <v>170</v>
      </c>
      <c r="G233" s="67" t="s">
        <v>208</v>
      </c>
      <c r="H233" s="67" t="s">
        <v>209</v>
      </c>
      <c r="I233" s="67" t="s">
        <v>1053</v>
      </c>
      <c r="J233" s="67" t="s">
        <v>1054</v>
      </c>
      <c r="K233" s="67" t="s">
        <v>1054</v>
      </c>
      <c r="L233" s="14" t="s">
        <v>596</v>
      </c>
    </row>
    <row r="234" ht="15.75" customHeight="1">
      <c r="A234" s="66">
        <v>23855.0</v>
      </c>
      <c r="B234" s="67" t="s">
        <v>167</v>
      </c>
      <c r="C234" s="67" t="s">
        <v>168</v>
      </c>
      <c r="D234" s="67" t="s">
        <v>194</v>
      </c>
      <c r="E234" s="67" t="s">
        <v>196</v>
      </c>
      <c r="F234" s="67" t="s">
        <v>170</v>
      </c>
      <c r="G234" s="67" t="s">
        <v>372</v>
      </c>
      <c r="H234" s="67" t="s">
        <v>186</v>
      </c>
      <c r="I234" s="67" t="s">
        <v>1055</v>
      </c>
      <c r="J234" s="67" t="s">
        <v>1056</v>
      </c>
      <c r="K234" s="67" t="s">
        <v>1057</v>
      </c>
      <c r="L234" s="14" t="s">
        <v>596</v>
      </c>
    </row>
    <row r="235" ht="15.75" customHeight="1">
      <c r="A235" s="66">
        <v>231273.0</v>
      </c>
      <c r="B235" s="67" t="s">
        <v>216</v>
      </c>
      <c r="C235" s="67" t="s">
        <v>217</v>
      </c>
      <c r="D235" s="67" t="s">
        <v>170</v>
      </c>
      <c r="E235" s="67" t="s">
        <v>254</v>
      </c>
      <c r="F235" s="67" t="s">
        <v>256</v>
      </c>
      <c r="G235" s="67" t="s">
        <v>258</v>
      </c>
      <c r="H235" s="67" t="s">
        <v>259</v>
      </c>
      <c r="I235" s="67" t="s">
        <v>1058</v>
      </c>
      <c r="J235" s="67" t="s">
        <v>1059</v>
      </c>
      <c r="K235" s="67" t="s">
        <v>1060</v>
      </c>
      <c r="L235" s="14" t="s">
        <v>664</v>
      </c>
      <c r="M235" s="69"/>
    </row>
    <row r="236" ht="15.75" customHeight="1">
      <c r="A236" s="66">
        <v>23855.0</v>
      </c>
      <c r="B236" s="67" t="s">
        <v>167</v>
      </c>
      <c r="C236" s="67" t="s">
        <v>168</v>
      </c>
      <c r="D236" s="67" t="s">
        <v>194</v>
      </c>
      <c r="E236" s="67" t="s">
        <v>196</v>
      </c>
      <c r="F236" s="67" t="s">
        <v>170</v>
      </c>
      <c r="G236" s="67" t="s">
        <v>372</v>
      </c>
      <c r="H236" s="67" t="s">
        <v>186</v>
      </c>
      <c r="I236" s="67" t="s">
        <v>1061</v>
      </c>
      <c r="J236" s="67" t="s">
        <v>1062</v>
      </c>
      <c r="K236" s="67" t="s">
        <v>1057</v>
      </c>
      <c r="L236" s="14" t="s">
        <v>596</v>
      </c>
      <c r="M236" s="69"/>
    </row>
    <row r="237" ht="15.75" customHeight="1">
      <c r="A237" s="66">
        <v>22001.0</v>
      </c>
      <c r="B237" s="67" t="s">
        <v>243</v>
      </c>
      <c r="C237" s="67" t="s">
        <v>217</v>
      </c>
      <c r="D237" s="67" t="s">
        <v>170</v>
      </c>
      <c r="E237" s="67" t="s">
        <v>170</v>
      </c>
      <c r="F237" s="67" t="s">
        <v>170</v>
      </c>
      <c r="G237" s="67" t="s">
        <v>322</v>
      </c>
      <c r="H237" s="67" t="s">
        <v>175</v>
      </c>
      <c r="I237" s="67" t="s">
        <v>1063</v>
      </c>
      <c r="J237" s="67" t="s">
        <v>1064</v>
      </c>
      <c r="K237" s="67" t="s">
        <v>1057</v>
      </c>
      <c r="L237" s="14" t="s">
        <v>596</v>
      </c>
    </row>
    <row r="238" ht="15.75" customHeight="1">
      <c r="A238" s="66">
        <v>25714.0</v>
      </c>
      <c r="B238" s="67" t="s">
        <v>203</v>
      </c>
      <c r="C238" s="67" t="s">
        <v>168</v>
      </c>
      <c r="D238" s="67" t="s">
        <v>194</v>
      </c>
      <c r="E238" s="67" t="s">
        <v>172</v>
      </c>
      <c r="F238" s="67" t="s">
        <v>170</v>
      </c>
      <c r="G238" s="67" t="s">
        <v>208</v>
      </c>
      <c r="H238" s="67" t="s">
        <v>209</v>
      </c>
      <c r="I238" s="67" t="s">
        <v>1065</v>
      </c>
      <c r="J238" s="67" t="s">
        <v>1066</v>
      </c>
      <c r="K238" s="67" t="s">
        <v>1057</v>
      </c>
      <c r="L238" s="14" t="s">
        <v>596</v>
      </c>
    </row>
    <row r="239" ht="15.75" customHeight="1">
      <c r="A239" s="66">
        <v>31666.0</v>
      </c>
      <c r="B239" s="67" t="s">
        <v>167</v>
      </c>
      <c r="C239" s="67" t="s">
        <v>168</v>
      </c>
      <c r="D239" s="67" t="s">
        <v>194</v>
      </c>
      <c r="E239" s="67" t="s">
        <v>172</v>
      </c>
      <c r="F239" s="67" t="s">
        <v>170</v>
      </c>
      <c r="G239" s="67" t="s">
        <v>372</v>
      </c>
      <c r="H239" s="67" t="s">
        <v>186</v>
      </c>
      <c r="I239" s="67" t="s">
        <v>1067</v>
      </c>
      <c r="J239" s="67" t="s">
        <v>1068</v>
      </c>
      <c r="K239" s="67" t="s">
        <v>1069</v>
      </c>
      <c r="L239" s="14" t="s">
        <v>622</v>
      </c>
    </row>
    <row r="240" ht="15.75" customHeight="1">
      <c r="A240" s="66">
        <v>8679.0</v>
      </c>
      <c r="B240" s="67" t="s">
        <v>328</v>
      </c>
      <c r="C240" s="67" t="s">
        <v>217</v>
      </c>
      <c r="D240" s="67" t="s">
        <v>194</v>
      </c>
      <c r="E240" s="67" t="s">
        <v>196</v>
      </c>
      <c r="F240" s="67" t="s">
        <v>332</v>
      </c>
      <c r="G240" s="67" t="s">
        <v>198</v>
      </c>
      <c r="H240" s="67" t="s">
        <v>186</v>
      </c>
      <c r="I240" s="67" t="s">
        <v>1070</v>
      </c>
      <c r="J240" s="67" t="s">
        <v>1071</v>
      </c>
      <c r="K240" s="67" t="s">
        <v>1069</v>
      </c>
      <c r="L240" s="14" t="s">
        <v>622</v>
      </c>
    </row>
    <row r="241" ht="15.75" customHeight="1">
      <c r="A241" s="66">
        <v>23855.0</v>
      </c>
      <c r="B241" s="67" t="s">
        <v>167</v>
      </c>
      <c r="C241" s="67" t="s">
        <v>168</v>
      </c>
      <c r="D241" s="67" t="s">
        <v>194</v>
      </c>
      <c r="E241" s="67" t="s">
        <v>196</v>
      </c>
      <c r="F241" s="67" t="s">
        <v>170</v>
      </c>
      <c r="G241" s="67" t="s">
        <v>372</v>
      </c>
      <c r="H241" s="67" t="s">
        <v>186</v>
      </c>
      <c r="I241" s="67" t="s">
        <v>1072</v>
      </c>
      <c r="J241" s="67" t="s">
        <v>1073</v>
      </c>
      <c r="K241" s="67" t="s">
        <v>1069</v>
      </c>
      <c r="L241" s="14" t="s">
        <v>622</v>
      </c>
    </row>
    <row r="242" ht="15.75" customHeight="1">
      <c r="A242" s="66">
        <v>11247.0</v>
      </c>
      <c r="B242" s="67" t="s">
        <v>203</v>
      </c>
      <c r="C242" s="67" t="s">
        <v>168</v>
      </c>
      <c r="D242" s="67" t="s">
        <v>194</v>
      </c>
      <c r="E242" s="67" t="s">
        <v>206</v>
      </c>
      <c r="F242" s="67" t="s">
        <v>170</v>
      </c>
      <c r="G242" s="67" t="s">
        <v>208</v>
      </c>
      <c r="H242" s="67" t="s">
        <v>209</v>
      </c>
      <c r="I242" s="67" t="s">
        <v>1074</v>
      </c>
      <c r="J242" s="67" t="s">
        <v>1075</v>
      </c>
      <c r="K242" s="67" t="s">
        <v>1075</v>
      </c>
      <c r="L242" s="68" t="s">
        <v>600</v>
      </c>
    </row>
    <row r="243" ht="15.75" customHeight="1">
      <c r="A243" s="66">
        <v>12641.0</v>
      </c>
      <c r="B243" s="67" t="s">
        <v>216</v>
      </c>
      <c r="C243" s="67" t="s">
        <v>217</v>
      </c>
      <c r="D243" s="67" t="s">
        <v>170</v>
      </c>
      <c r="E243" s="67" t="s">
        <v>170</v>
      </c>
      <c r="F243" s="67" t="s">
        <v>170</v>
      </c>
      <c r="G243" s="67" t="s">
        <v>322</v>
      </c>
      <c r="H243" s="67" t="s">
        <v>175</v>
      </c>
      <c r="I243" s="67" t="s">
        <v>1076</v>
      </c>
      <c r="J243" s="67" t="s">
        <v>1077</v>
      </c>
      <c r="K243" s="67" t="s">
        <v>787</v>
      </c>
      <c r="L243" s="68" t="s">
        <v>578</v>
      </c>
    </row>
    <row r="244" ht="15.75" customHeight="1">
      <c r="A244" s="66">
        <v>127300.0</v>
      </c>
      <c r="B244" s="67" t="s">
        <v>484</v>
      </c>
      <c r="C244" s="67" t="s">
        <v>217</v>
      </c>
      <c r="D244" s="67" t="s">
        <v>170</v>
      </c>
      <c r="E244" s="67" t="s">
        <v>170</v>
      </c>
      <c r="F244" s="67" t="s">
        <v>170</v>
      </c>
      <c r="G244" s="67" t="s">
        <v>289</v>
      </c>
      <c r="H244" s="67" t="s">
        <v>247</v>
      </c>
      <c r="I244" s="67" t="s">
        <v>1078</v>
      </c>
      <c r="J244" s="67" t="s">
        <v>1079</v>
      </c>
      <c r="K244" s="67" t="s">
        <v>1060</v>
      </c>
      <c r="L244" s="14" t="s">
        <v>664</v>
      </c>
    </row>
    <row r="245" ht="15.75" customHeight="1">
      <c r="A245" s="66">
        <v>228110.0</v>
      </c>
      <c r="B245" s="67" t="s">
        <v>243</v>
      </c>
      <c r="C245" s="67" t="s">
        <v>217</v>
      </c>
      <c r="D245" s="67" t="s">
        <v>170</v>
      </c>
      <c r="E245" s="67" t="s">
        <v>170</v>
      </c>
      <c r="F245" s="67" t="s">
        <v>170</v>
      </c>
      <c r="G245" s="67" t="s">
        <v>246</v>
      </c>
      <c r="H245" s="67" t="s">
        <v>247</v>
      </c>
      <c r="I245" s="67" t="s">
        <v>1080</v>
      </c>
      <c r="J245" s="67" t="s">
        <v>1081</v>
      </c>
      <c r="K245" s="67" t="s">
        <v>1082</v>
      </c>
      <c r="L245" s="14" t="s">
        <v>609</v>
      </c>
    </row>
    <row r="246" ht="15.75" customHeight="1">
      <c r="A246" s="66">
        <v>14189.0</v>
      </c>
      <c r="B246" s="67" t="s">
        <v>265</v>
      </c>
      <c r="C246" s="67" t="s">
        <v>217</v>
      </c>
      <c r="D246" s="67" t="s">
        <v>194</v>
      </c>
      <c r="E246" s="67" t="s">
        <v>170</v>
      </c>
      <c r="F246" s="67" t="s">
        <v>170</v>
      </c>
      <c r="G246" s="67" t="s">
        <v>246</v>
      </c>
      <c r="H246" s="67" t="s">
        <v>247</v>
      </c>
      <c r="I246" s="67" t="s">
        <v>1083</v>
      </c>
      <c r="J246" s="67" t="s">
        <v>1084</v>
      </c>
      <c r="K246" s="67" t="s">
        <v>708</v>
      </c>
      <c r="L246" s="14" t="s">
        <v>587</v>
      </c>
    </row>
    <row r="247" ht="15.75" customHeight="1">
      <c r="A247" s="66">
        <v>127300.0</v>
      </c>
      <c r="B247" s="67" t="s">
        <v>484</v>
      </c>
      <c r="C247" s="67" t="s">
        <v>217</v>
      </c>
      <c r="D247" s="67" t="s">
        <v>170</v>
      </c>
      <c r="E247" s="67" t="s">
        <v>170</v>
      </c>
      <c r="F247" s="67" t="s">
        <v>170</v>
      </c>
      <c r="G247" s="67" t="s">
        <v>289</v>
      </c>
      <c r="H247" s="67" t="s">
        <v>247</v>
      </c>
      <c r="I247" s="67" t="s">
        <v>1085</v>
      </c>
      <c r="J247" s="67" t="s">
        <v>1086</v>
      </c>
      <c r="K247" s="67" t="s">
        <v>1060</v>
      </c>
      <c r="L247" s="14" t="s">
        <v>664</v>
      </c>
    </row>
    <row r="248" ht="15.75" customHeight="1">
      <c r="A248" s="66">
        <v>30061.0</v>
      </c>
      <c r="B248" s="67" t="s">
        <v>422</v>
      </c>
      <c r="C248" s="67" t="s">
        <v>217</v>
      </c>
      <c r="D248" s="67" t="s">
        <v>170</v>
      </c>
      <c r="E248" s="67" t="s">
        <v>425</v>
      </c>
      <c r="F248" s="67" t="s">
        <v>170</v>
      </c>
      <c r="G248" s="67" t="s">
        <v>208</v>
      </c>
      <c r="H248" s="67" t="s">
        <v>209</v>
      </c>
      <c r="I248" s="67" t="s">
        <v>1087</v>
      </c>
      <c r="J248" s="70" t="s">
        <v>1088</v>
      </c>
      <c r="K248" s="67" t="s">
        <v>599</v>
      </c>
      <c r="L248" s="68" t="s">
        <v>600</v>
      </c>
    </row>
    <row r="249" ht="15.75" customHeight="1">
      <c r="A249" s="66">
        <v>30061.0</v>
      </c>
      <c r="B249" s="67" t="s">
        <v>422</v>
      </c>
      <c r="C249" s="67" t="s">
        <v>217</v>
      </c>
      <c r="D249" s="67" t="s">
        <v>170</v>
      </c>
      <c r="E249" s="67" t="s">
        <v>425</v>
      </c>
      <c r="F249" s="67" t="s">
        <v>170</v>
      </c>
      <c r="G249" s="67" t="s">
        <v>208</v>
      </c>
      <c r="H249" s="67" t="s">
        <v>209</v>
      </c>
      <c r="I249" s="67" t="s">
        <v>1089</v>
      </c>
      <c r="J249" s="70" t="s">
        <v>1088</v>
      </c>
      <c r="K249" s="67" t="s">
        <v>599</v>
      </c>
      <c r="L249" s="68" t="s">
        <v>600</v>
      </c>
    </row>
    <row r="250" ht="15.75" customHeight="1">
      <c r="A250" s="66">
        <v>323107.0</v>
      </c>
      <c r="B250" s="67" t="s">
        <v>167</v>
      </c>
      <c r="C250" s="67" t="s">
        <v>168</v>
      </c>
      <c r="D250" s="67" t="s">
        <v>194</v>
      </c>
      <c r="E250" s="67" t="s">
        <v>170</v>
      </c>
      <c r="F250" s="67" t="s">
        <v>170</v>
      </c>
      <c r="G250" s="67" t="s">
        <v>221</v>
      </c>
      <c r="H250" s="67" t="s">
        <v>222</v>
      </c>
      <c r="I250" s="67" t="s">
        <v>1090</v>
      </c>
      <c r="J250" s="67" t="s">
        <v>1091</v>
      </c>
      <c r="K250" s="67" t="s">
        <v>651</v>
      </c>
      <c r="L250" s="14" t="s">
        <v>596</v>
      </c>
    </row>
    <row r="251" ht="15.75" customHeight="1">
      <c r="A251" s="66">
        <v>11247.0</v>
      </c>
      <c r="B251" s="67" t="s">
        <v>203</v>
      </c>
      <c r="C251" s="67" t="s">
        <v>168</v>
      </c>
      <c r="D251" s="67" t="s">
        <v>194</v>
      </c>
      <c r="E251" s="67" t="s">
        <v>206</v>
      </c>
      <c r="F251" s="67" t="s">
        <v>170</v>
      </c>
      <c r="G251" s="67" t="s">
        <v>208</v>
      </c>
      <c r="H251" s="67" t="s">
        <v>209</v>
      </c>
      <c r="I251" s="67" t="s">
        <v>1092</v>
      </c>
      <c r="J251" s="67" t="s">
        <v>1093</v>
      </c>
      <c r="K251" s="67" t="s">
        <v>1093</v>
      </c>
      <c r="L251" s="68" t="s">
        <v>600</v>
      </c>
      <c r="M251" s="69"/>
    </row>
    <row r="252" ht="15.75" customHeight="1">
      <c r="A252" s="66">
        <v>234758.0</v>
      </c>
      <c r="B252" s="67" t="s">
        <v>192</v>
      </c>
      <c r="C252" s="67" t="s">
        <v>168</v>
      </c>
      <c r="D252" s="67" t="s">
        <v>170</v>
      </c>
      <c r="E252" s="67" t="s">
        <v>196</v>
      </c>
      <c r="F252" s="67" t="s">
        <v>256</v>
      </c>
      <c r="G252" s="67" t="s">
        <v>208</v>
      </c>
      <c r="H252" s="67" t="s">
        <v>209</v>
      </c>
      <c r="I252" s="67" t="s">
        <v>1094</v>
      </c>
      <c r="J252" s="67" t="s">
        <v>1095</v>
      </c>
      <c r="K252" s="67" t="s">
        <v>895</v>
      </c>
      <c r="L252" s="14" t="s">
        <v>698</v>
      </c>
      <c r="M252" s="69"/>
    </row>
    <row r="253" ht="15.75" customHeight="1">
      <c r="A253" s="66">
        <v>3017.0</v>
      </c>
      <c r="B253" s="67" t="s">
        <v>265</v>
      </c>
      <c r="C253" s="67" t="s">
        <v>217</v>
      </c>
      <c r="D253" s="67" t="s">
        <v>194</v>
      </c>
      <c r="E253" s="67" t="s">
        <v>170</v>
      </c>
      <c r="F253" s="67" t="s">
        <v>170</v>
      </c>
      <c r="G253" s="67" t="s">
        <v>246</v>
      </c>
      <c r="H253" s="67" t="s">
        <v>247</v>
      </c>
      <c r="I253" s="67" t="s">
        <v>1096</v>
      </c>
      <c r="J253" s="67" t="s">
        <v>1097</v>
      </c>
      <c r="K253" s="67" t="s">
        <v>895</v>
      </c>
      <c r="L253" s="14" t="s">
        <v>698</v>
      </c>
      <c r="M253" s="69"/>
    </row>
    <row r="254" ht="15.75" customHeight="1">
      <c r="A254" s="66">
        <v>31614.0</v>
      </c>
      <c r="B254" s="67" t="s">
        <v>192</v>
      </c>
      <c r="C254" s="67" t="s">
        <v>168</v>
      </c>
      <c r="D254" s="67" t="s">
        <v>194</v>
      </c>
      <c r="E254" s="67" t="s">
        <v>196</v>
      </c>
      <c r="F254" s="67" t="s">
        <v>170</v>
      </c>
      <c r="G254" s="67" t="s">
        <v>198</v>
      </c>
      <c r="H254" s="67" t="s">
        <v>186</v>
      </c>
      <c r="I254" s="67" t="s">
        <v>1098</v>
      </c>
      <c r="J254" s="67" t="s">
        <v>1099</v>
      </c>
      <c r="K254" s="67" t="s">
        <v>895</v>
      </c>
      <c r="L254" s="14" t="s">
        <v>698</v>
      </c>
      <c r="M254" s="69"/>
    </row>
    <row r="255" ht="15.75" customHeight="1">
      <c r="A255" s="66">
        <v>3017.0</v>
      </c>
      <c r="B255" s="67" t="s">
        <v>265</v>
      </c>
      <c r="C255" s="67" t="s">
        <v>217</v>
      </c>
      <c r="D255" s="67" t="s">
        <v>194</v>
      </c>
      <c r="E255" s="67" t="s">
        <v>170</v>
      </c>
      <c r="F255" s="67" t="s">
        <v>170</v>
      </c>
      <c r="G255" s="67" t="s">
        <v>246</v>
      </c>
      <c r="H255" s="67" t="s">
        <v>247</v>
      </c>
      <c r="I255" s="67" t="s">
        <v>1100</v>
      </c>
      <c r="J255" s="67" t="s">
        <v>1101</v>
      </c>
      <c r="K255" s="67" t="s">
        <v>836</v>
      </c>
      <c r="L255" s="68" t="s">
        <v>578</v>
      </c>
      <c r="M255" s="69"/>
    </row>
    <row r="256" ht="15.75" customHeight="1">
      <c r="A256" s="66">
        <v>127300.0</v>
      </c>
      <c r="B256" s="67" t="s">
        <v>484</v>
      </c>
      <c r="C256" s="67" t="s">
        <v>217</v>
      </c>
      <c r="D256" s="67" t="s">
        <v>170</v>
      </c>
      <c r="E256" s="67" t="s">
        <v>170</v>
      </c>
      <c r="F256" s="67" t="s">
        <v>170</v>
      </c>
      <c r="G256" s="67" t="s">
        <v>289</v>
      </c>
      <c r="H256" s="67" t="s">
        <v>247</v>
      </c>
      <c r="I256" s="67" t="s">
        <v>1102</v>
      </c>
      <c r="J256" s="67" t="s">
        <v>1103</v>
      </c>
      <c r="K256" s="67" t="s">
        <v>1060</v>
      </c>
      <c r="L256" s="14" t="s">
        <v>664</v>
      </c>
    </row>
    <row r="257" ht="15.75" customHeight="1">
      <c r="A257" s="66">
        <v>560.0</v>
      </c>
      <c r="B257" s="67" t="s">
        <v>422</v>
      </c>
      <c r="C257" s="67" t="s">
        <v>217</v>
      </c>
      <c r="D257" s="67" t="s">
        <v>194</v>
      </c>
      <c r="E257" s="67" t="s">
        <v>206</v>
      </c>
      <c r="F257" s="67" t="s">
        <v>332</v>
      </c>
      <c r="G257" s="67" t="s">
        <v>174</v>
      </c>
      <c r="H257" s="67" t="s">
        <v>175</v>
      </c>
      <c r="I257" s="67" t="s">
        <v>1104</v>
      </c>
      <c r="J257" s="70" t="s">
        <v>1103</v>
      </c>
      <c r="K257" s="67" t="s">
        <v>1060</v>
      </c>
      <c r="L257" s="14" t="s">
        <v>664</v>
      </c>
    </row>
    <row r="258" ht="15.75" customHeight="1">
      <c r="A258" s="66">
        <v>22001.0</v>
      </c>
      <c r="B258" s="67" t="s">
        <v>243</v>
      </c>
      <c r="C258" s="67" t="s">
        <v>217</v>
      </c>
      <c r="D258" s="67" t="s">
        <v>170</v>
      </c>
      <c r="E258" s="67" t="s">
        <v>170</v>
      </c>
      <c r="F258" s="67" t="s">
        <v>170</v>
      </c>
      <c r="G258" s="67" t="s">
        <v>322</v>
      </c>
      <c r="H258" s="67" t="s">
        <v>175</v>
      </c>
      <c r="I258" s="67" t="s">
        <v>1105</v>
      </c>
      <c r="J258" s="67" t="s">
        <v>1106</v>
      </c>
      <c r="K258" s="67" t="s">
        <v>1107</v>
      </c>
      <c r="L258" s="68" t="s">
        <v>600</v>
      </c>
    </row>
    <row r="259" ht="15.75" customHeight="1">
      <c r="A259" s="66">
        <v>25196.0</v>
      </c>
      <c r="B259" s="67" t="s">
        <v>167</v>
      </c>
      <c r="C259" s="67" t="s">
        <v>168</v>
      </c>
      <c r="D259" s="67" t="s">
        <v>183</v>
      </c>
      <c r="E259" s="67" t="s">
        <v>170</v>
      </c>
      <c r="F259" s="67" t="s">
        <v>170</v>
      </c>
      <c r="G259" s="67" t="s">
        <v>221</v>
      </c>
      <c r="H259" s="67" t="s">
        <v>222</v>
      </c>
      <c r="I259" s="67" t="s">
        <v>1108</v>
      </c>
      <c r="J259" s="67" t="s">
        <v>1109</v>
      </c>
      <c r="K259" s="67" t="s">
        <v>1109</v>
      </c>
      <c r="L259" s="14" t="s">
        <v>664</v>
      </c>
    </row>
    <row r="260" ht="15.75" customHeight="1">
      <c r="A260" s="66">
        <v>25196.0</v>
      </c>
      <c r="B260" s="67" t="s">
        <v>167</v>
      </c>
      <c r="C260" s="67" t="s">
        <v>168</v>
      </c>
      <c r="D260" s="67" t="s">
        <v>183</v>
      </c>
      <c r="E260" s="67" t="s">
        <v>170</v>
      </c>
      <c r="F260" s="67" t="s">
        <v>170</v>
      </c>
      <c r="G260" s="67" t="s">
        <v>221</v>
      </c>
      <c r="H260" s="67" t="s">
        <v>222</v>
      </c>
      <c r="I260" s="67" t="s">
        <v>1110</v>
      </c>
      <c r="J260" s="67" t="s">
        <v>1109</v>
      </c>
      <c r="K260" s="67" t="s">
        <v>1109</v>
      </c>
      <c r="L260" s="14" t="s">
        <v>664</v>
      </c>
    </row>
    <row r="261" ht="15.75" customHeight="1">
      <c r="A261" s="66">
        <v>22001.0</v>
      </c>
      <c r="B261" s="67" t="s">
        <v>243</v>
      </c>
      <c r="C261" s="67" t="s">
        <v>217</v>
      </c>
      <c r="D261" s="67" t="s">
        <v>170</v>
      </c>
      <c r="E261" s="67" t="s">
        <v>170</v>
      </c>
      <c r="F261" s="67" t="s">
        <v>170</v>
      </c>
      <c r="G261" s="67" t="s">
        <v>322</v>
      </c>
      <c r="H261" s="67" t="s">
        <v>175</v>
      </c>
      <c r="I261" s="67" t="s">
        <v>1111</v>
      </c>
      <c r="J261" s="67" t="s">
        <v>1112</v>
      </c>
      <c r="K261" s="67" t="s">
        <v>1000</v>
      </c>
      <c r="L261" s="68" t="s">
        <v>578</v>
      </c>
    </row>
    <row r="262" ht="15.75" customHeight="1">
      <c r="A262" s="66">
        <v>8679.0</v>
      </c>
      <c r="B262" s="67" t="s">
        <v>328</v>
      </c>
      <c r="C262" s="67" t="s">
        <v>217</v>
      </c>
      <c r="D262" s="67" t="s">
        <v>194</v>
      </c>
      <c r="E262" s="67" t="s">
        <v>196</v>
      </c>
      <c r="F262" s="67" t="s">
        <v>332</v>
      </c>
      <c r="G262" s="67" t="s">
        <v>198</v>
      </c>
      <c r="H262" s="67" t="s">
        <v>186</v>
      </c>
      <c r="I262" s="67" t="s">
        <v>1113</v>
      </c>
      <c r="J262" s="67" t="s">
        <v>1114</v>
      </c>
      <c r="K262" s="67" t="s">
        <v>861</v>
      </c>
      <c r="L262" s="14" t="s">
        <v>664</v>
      </c>
      <c r="M262" s="69"/>
    </row>
    <row r="263" ht="15.75" customHeight="1">
      <c r="A263" s="66">
        <v>31614.0</v>
      </c>
      <c r="B263" s="67" t="s">
        <v>192</v>
      </c>
      <c r="C263" s="67" t="s">
        <v>168</v>
      </c>
      <c r="D263" s="67" t="s">
        <v>194</v>
      </c>
      <c r="E263" s="67" t="s">
        <v>196</v>
      </c>
      <c r="F263" s="67" t="s">
        <v>170</v>
      </c>
      <c r="G263" s="67" t="s">
        <v>198</v>
      </c>
      <c r="H263" s="67" t="s">
        <v>186</v>
      </c>
      <c r="I263" s="67" t="s">
        <v>1115</v>
      </c>
      <c r="J263" s="67" t="s">
        <v>1116</v>
      </c>
      <c r="K263" s="67" t="s">
        <v>1060</v>
      </c>
      <c r="L263" s="14" t="s">
        <v>664</v>
      </c>
      <c r="M263" s="69"/>
    </row>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263"/>
  <printOptions/>
  <pageMargins bottom="0.787401575" footer="0.0" header="0.0" left="0.511811024" right="0.511811024" top="0.7874015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40.25"/>
    <col customWidth="1" min="2" max="2" width="54.13"/>
    <col customWidth="1" min="3"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40.25"/>
    <col customWidth="1" min="2" max="2" width="54.13"/>
    <col customWidth="1" min="3" max="6" width="12.63"/>
  </cols>
  <sheetData>
    <row r="1" ht="15.75" customHeight="1">
      <c r="A1" s="14" t="s">
        <v>574</v>
      </c>
      <c r="B1" s="14" t="s">
        <v>573</v>
      </c>
      <c r="C1" s="14" t="s">
        <v>1117</v>
      </c>
      <c r="D1" s="14" t="s">
        <v>1118</v>
      </c>
      <c r="E1" s="14" t="s">
        <v>1118</v>
      </c>
    </row>
    <row r="2" ht="15.75" customHeight="1">
      <c r="A2" s="14" t="s">
        <v>1119</v>
      </c>
      <c r="B2" s="14"/>
      <c r="C2" s="14">
        <v>15.0</v>
      </c>
      <c r="D2" s="14">
        <v>41.0</v>
      </c>
      <c r="E2" s="48">
        <v>0.15648854961832062</v>
      </c>
    </row>
    <row r="3" ht="15.75" customHeight="1">
      <c r="A3" s="14" t="s">
        <v>1120</v>
      </c>
      <c r="B3" s="14"/>
      <c r="C3" s="14">
        <v>11.0</v>
      </c>
      <c r="D3" s="14">
        <v>39.0</v>
      </c>
      <c r="E3" s="48">
        <v>0.14885496183206107</v>
      </c>
    </row>
    <row r="4" ht="15.75" customHeight="1">
      <c r="A4" s="14" t="s">
        <v>1121</v>
      </c>
      <c r="B4" s="14"/>
      <c r="C4" s="14">
        <v>13.0</v>
      </c>
      <c r="D4" s="14">
        <v>36.0</v>
      </c>
      <c r="E4" s="48">
        <v>0.13740458015267176</v>
      </c>
    </row>
    <row r="5" ht="15.75" customHeight="1">
      <c r="A5" s="14" t="s">
        <v>1122</v>
      </c>
      <c r="B5" s="14"/>
      <c r="C5" s="14">
        <v>11.0</v>
      </c>
      <c r="D5" s="14">
        <v>32.0</v>
      </c>
      <c r="E5" s="48">
        <v>0.12213740458015267</v>
      </c>
    </row>
    <row r="6" ht="15.75" customHeight="1">
      <c r="A6" s="14" t="s">
        <v>1123</v>
      </c>
      <c r="B6" s="14"/>
      <c r="C6" s="14">
        <v>6.0</v>
      </c>
      <c r="D6" s="14">
        <v>28.0</v>
      </c>
      <c r="E6" s="48">
        <v>0.10687022900763359</v>
      </c>
    </row>
    <row r="7" ht="15.75" customHeight="1">
      <c r="A7" s="14" t="s">
        <v>1124</v>
      </c>
      <c r="B7" s="14"/>
      <c r="C7" s="14">
        <v>9.0</v>
      </c>
      <c r="D7" s="14">
        <v>25.0</v>
      </c>
      <c r="E7" s="48">
        <v>0.09541984732824428</v>
      </c>
    </row>
    <row r="8" ht="15.75" customHeight="1">
      <c r="A8" s="14" t="s">
        <v>1125</v>
      </c>
      <c r="B8" s="14"/>
      <c r="C8" s="14">
        <v>7.0</v>
      </c>
      <c r="D8" s="14">
        <v>22.0</v>
      </c>
      <c r="E8" s="48">
        <v>0.08396946564885496</v>
      </c>
    </row>
    <row r="9" ht="15.75" customHeight="1">
      <c r="A9" s="14" t="s">
        <v>1126</v>
      </c>
      <c r="B9" s="14"/>
      <c r="C9" s="14">
        <v>8.0</v>
      </c>
      <c r="D9" s="14">
        <v>18.0</v>
      </c>
      <c r="E9" s="48">
        <v>0.06870229007633588</v>
      </c>
    </row>
    <row r="10" ht="15.75" customHeight="1">
      <c r="A10" s="14" t="s">
        <v>1127</v>
      </c>
      <c r="B10" s="14"/>
      <c r="C10" s="14">
        <v>4.0</v>
      </c>
      <c r="D10" s="14">
        <v>11.0</v>
      </c>
      <c r="E10" s="48">
        <v>0.04198473282442748</v>
      </c>
    </row>
    <row r="11" ht="15.75" customHeight="1">
      <c r="A11" s="14" t="s">
        <v>1128</v>
      </c>
      <c r="B11" s="14"/>
      <c r="C11" s="14">
        <v>4.0</v>
      </c>
      <c r="D11" s="14">
        <v>10.0</v>
      </c>
      <c r="E11" s="48">
        <v>0.03816793893129771</v>
      </c>
    </row>
    <row r="12" ht="15.75" customHeight="1">
      <c r="A12" s="14" t="s">
        <v>547</v>
      </c>
      <c r="B12" s="14"/>
      <c r="C12" s="14">
        <v>88.0</v>
      </c>
      <c r="D12" s="14">
        <v>262.0</v>
      </c>
      <c r="E12" s="48">
        <v>1.0</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40.25"/>
    <col customWidth="1" min="2" max="2" width="54.13"/>
    <col customWidth="1" min="3" max="6" width="12.63"/>
  </cols>
  <sheetData>
    <row r="1" ht="15.75" customHeight="1">
      <c r="A1" s="14" t="s">
        <v>151</v>
      </c>
      <c r="B1" s="14" t="s">
        <v>574</v>
      </c>
      <c r="C1" s="14" t="s">
        <v>1117</v>
      </c>
      <c r="D1" s="14" t="s">
        <v>1118</v>
      </c>
      <c r="E1" s="14" t="s">
        <v>1118</v>
      </c>
    </row>
    <row r="2" ht="15.75" customHeight="1">
      <c r="A2" s="14" t="s">
        <v>217</v>
      </c>
      <c r="B2" s="14" t="s">
        <v>587</v>
      </c>
      <c r="C2" s="14">
        <v>10.0</v>
      </c>
      <c r="D2" s="14">
        <v>30.0</v>
      </c>
      <c r="E2" s="48">
        <v>0.11450381679389313</v>
      </c>
    </row>
    <row r="3" ht="15.75" customHeight="1">
      <c r="A3" s="14"/>
      <c r="B3" s="14" t="s">
        <v>664</v>
      </c>
      <c r="C3" s="14">
        <v>10.0</v>
      </c>
      <c r="D3" s="14">
        <v>26.0</v>
      </c>
      <c r="E3" s="48">
        <v>0.09923664122137404</v>
      </c>
    </row>
    <row r="4" ht="15.75" customHeight="1">
      <c r="A4" s="14"/>
      <c r="B4" s="14" t="s">
        <v>578</v>
      </c>
      <c r="C4" s="14">
        <v>10.0</v>
      </c>
      <c r="D4" s="14">
        <v>18.0</v>
      </c>
      <c r="E4" s="48">
        <v>0.06870229007633588</v>
      </c>
    </row>
    <row r="5" ht="15.75" customHeight="1">
      <c r="A5" s="14"/>
      <c r="B5" s="14" t="s">
        <v>637</v>
      </c>
      <c r="C5" s="14">
        <v>5.0</v>
      </c>
      <c r="D5" s="14">
        <v>17.0</v>
      </c>
      <c r="E5" s="48">
        <v>0.0648854961832061</v>
      </c>
    </row>
    <row r="6" ht="15.75" customHeight="1">
      <c r="A6" s="14"/>
      <c r="B6" s="14" t="s">
        <v>622</v>
      </c>
      <c r="C6" s="14">
        <v>6.0</v>
      </c>
      <c r="D6" s="14">
        <v>17.0</v>
      </c>
      <c r="E6" s="48">
        <v>0.0648854961832061</v>
      </c>
    </row>
    <row r="7" ht="15.75" customHeight="1">
      <c r="A7" s="14"/>
      <c r="B7" s="14" t="s">
        <v>613</v>
      </c>
      <c r="C7" s="14">
        <v>6.0</v>
      </c>
      <c r="D7" s="14">
        <v>16.0</v>
      </c>
      <c r="E7" s="48">
        <v>0.061068702290076333</v>
      </c>
    </row>
    <row r="8" ht="15.75" customHeight="1">
      <c r="A8" s="14"/>
      <c r="B8" s="14" t="s">
        <v>600</v>
      </c>
      <c r="C8" s="14">
        <v>7.0</v>
      </c>
      <c r="D8" s="14">
        <v>11.0</v>
      </c>
      <c r="E8" s="48">
        <v>0.04198473282442748</v>
      </c>
    </row>
    <row r="9" ht="15.75" customHeight="1">
      <c r="A9" s="14"/>
      <c r="B9" s="14" t="s">
        <v>609</v>
      </c>
      <c r="C9" s="14">
        <v>4.0</v>
      </c>
      <c r="D9" s="14">
        <v>10.0</v>
      </c>
      <c r="E9" s="48">
        <v>0.03816793893129771</v>
      </c>
    </row>
    <row r="10" ht="15.75" customHeight="1">
      <c r="A10" s="14"/>
      <c r="B10" s="14" t="s">
        <v>698</v>
      </c>
      <c r="C10" s="14">
        <v>5.0</v>
      </c>
      <c r="D10" s="14">
        <v>6.0</v>
      </c>
      <c r="E10" s="48">
        <v>0.022900763358778626</v>
      </c>
    </row>
    <row r="11" ht="15.75" customHeight="1">
      <c r="A11" s="14"/>
      <c r="B11" s="14" t="s">
        <v>596</v>
      </c>
      <c r="C11" s="14">
        <v>2.0</v>
      </c>
      <c r="D11" s="14">
        <v>4.0</v>
      </c>
      <c r="E11" s="48">
        <v>0.015267175572519083</v>
      </c>
    </row>
    <row r="12" ht="15.75" customHeight="1">
      <c r="A12" s="14" t="s">
        <v>168</v>
      </c>
      <c r="B12" s="14" t="s">
        <v>600</v>
      </c>
      <c r="C12" s="14">
        <v>10.0</v>
      </c>
      <c r="D12" s="14">
        <v>25.0</v>
      </c>
      <c r="E12" s="48">
        <v>0.09541984732824428</v>
      </c>
    </row>
    <row r="13" ht="15.75" customHeight="1">
      <c r="A13" s="14"/>
      <c r="B13" s="14" t="s">
        <v>578</v>
      </c>
      <c r="C13" s="14">
        <v>8.0</v>
      </c>
      <c r="D13" s="14">
        <v>23.0</v>
      </c>
      <c r="E13" s="48">
        <v>0.08778625954198473</v>
      </c>
    </row>
    <row r="14" ht="15.75" customHeight="1">
      <c r="A14" s="14"/>
      <c r="B14" s="14" t="s">
        <v>698</v>
      </c>
      <c r="C14" s="14">
        <v>6.0</v>
      </c>
      <c r="D14" s="14">
        <v>12.0</v>
      </c>
      <c r="E14" s="48">
        <v>0.04580152671755725</v>
      </c>
    </row>
    <row r="15" ht="15.75" customHeight="1">
      <c r="A15" s="14"/>
      <c r="B15" s="14" t="s">
        <v>637</v>
      </c>
      <c r="C15" s="14">
        <v>5.0</v>
      </c>
      <c r="D15" s="14">
        <v>11.0</v>
      </c>
      <c r="E15" s="48">
        <v>0.04198473282442748</v>
      </c>
    </row>
    <row r="16" ht="15.75" customHeight="1">
      <c r="A16" s="14"/>
      <c r="B16" s="14" t="s">
        <v>587</v>
      </c>
      <c r="C16" s="14">
        <v>5.0</v>
      </c>
      <c r="D16" s="14">
        <v>9.0</v>
      </c>
      <c r="E16" s="48">
        <v>0.03435114503816794</v>
      </c>
    </row>
    <row r="17" ht="15.75" customHeight="1">
      <c r="A17" s="14"/>
      <c r="B17" s="14" t="s">
        <v>622</v>
      </c>
      <c r="C17" s="14">
        <v>6.0</v>
      </c>
      <c r="D17" s="14">
        <v>8.0</v>
      </c>
      <c r="E17" s="48">
        <v>0.030534351145038167</v>
      </c>
    </row>
    <row r="18" ht="15.75" customHeight="1">
      <c r="A18" s="14"/>
      <c r="B18" s="14" t="s">
        <v>596</v>
      </c>
      <c r="C18" s="14">
        <v>4.0</v>
      </c>
      <c r="D18" s="14">
        <v>7.0</v>
      </c>
      <c r="E18" s="48">
        <v>0.026717557251908396</v>
      </c>
    </row>
    <row r="19" ht="15.75" customHeight="1">
      <c r="A19" s="14"/>
      <c r="B19" s="14" t="s">
        <v>613</v>
      </c>
      <c r="C19" s="14">
        <v>2.0</v>
      </c>
      <c r="D19" s="14">
        <v>6.0</v>
      </c>
      <c r="E19" s="48">
        <v>0.022900763358778626</v>
      </c>
    </row>
    <row r="20" ht="15.75" customHeight="1">
      <c r="A20" s="14"/>
      <c r="B20" s="14" t="s">
        <v>664</v>
      </c>
      <c r="C20" s="14">
        <v>4.0</v>
      </c>
      <c r="D20" s="14">
        <v>6.0</v>
      </c>
      <c r="E20" s="48">
        <v>0.022900763358778626</v>
      </c>
    </row>
    <row r="21" ht="15.75" customHeight="1">
      <c r="A21" s="14" t="s">
        <v>547</v>
      </c>
      <c r="B21" s="14"/>
      <c r="C21" s="14">
        <v>88.0</v>
      </c>
      <c r="D21" s="14">
        <v>262.0</v>
      </c>
      <c r="E21" s="48">
        <v>1.0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